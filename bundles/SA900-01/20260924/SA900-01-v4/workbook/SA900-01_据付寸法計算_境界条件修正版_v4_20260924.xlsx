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IHIRO\Documents\Codex\2026-09-19\excel\outputs\01a0ba03-7ef6-7b70-8526-5c5b8e7fe247\20260924_境界条件修正版\"/>
    </mc:Choice>
  </mc:AlternateContent>
  <xr:revisionPtr revIDLastSave="0" documentId="13_ncr:1_{A76061AC-638C-41B0-9A0C-26152673615F}" xr6:coauthVersionLast="47" xr6:coauthVersionMax="47" xr10:uidLastSave="{00000000-0000-0000-0000-000000000000}"/>
  <workbookProtection lockStructure="1"/>
  <bookViews>
    <workbookView xWindow="2340" yWindow="2340" windowWidth="28800" windowHeight="15345" activeTab="1" xr2:uid="{00000000-000D-0000-FFFF-FFFF00000000}"/>
  </bookViews>
  <sheets>
    <sheet name="補完ガイド" sheetId="13" r:id="rId1"/>
    <sheet name="帳票基本入力" sheetId="14" r:id="rId2"/>
    <sheet name="入力表" sheetId="1" r:id="rId3"/>
    <sheet name="情報更新画面" sheetId="2" r:id="rId4"/>
    <sheet name="目次" sheetId="3" r:id="rId5"/>
    <sheet name="塔内機器_表紙" sheetId="4" r:id="rId6"/>
    <sheet name="塔内機器_入力①" sheetId="5" r:id="rId7"/>
    <sheet name="塔内機器_出力①" sheetId="6" r:id="rId8"/>
    <sheet name="塔内機器_出力②" sheetId="7" r:id="rId9"/>
    <sheet name="塔内機器_出力③" sheetId="8" r:id="rId10"/>
    <sheet name="塔内機器_計算用シート" sheetId="9" r:id="rId11"/>
    <sheet name="塔内機器_入力①_DB" sheetId="10" r:id="rId12"/>
    <sheet name="塔内機器_出力①_DB" sheetId="11" r:id="rId13"/>
    <sheet name="塔内機器_出力②_DB" sheetId="12" r:id="rId14"/>
  </sheets>
  <definedNames>
    <definedName name="_xlnm._FilterDatabase" localSheetId="13" hidden="1">塔内機器_出力②_DB!$A$3:$L$1123</definedName>
    <definedName name="_xlnm._FilterDatabase" localSheetId="11" hidden="1">塔内機器_入力①_DB!$A$1:$AC$531</definedName>
    <definedName name="_xlnm._FilterDatabase" localSheetId="2" hidden="1">入力表!$A$24:$J$226</definedName>
    <definedName name="_xlnm.Print_Area" localSheetId="1">帳票基本入力!$B$2:$E$23</definedName>
    <definedName name="_xlnm.Print_Area" localSheetId="10">塔内機器_計算用シート!$B$2:$AJ$68</definedName>
    <definedName name="_xlnm.Print_Area" localSheetId="7">塔内機器_出力①!$B$2:$AA$90</definedName>
    <definedName name="_xlnm.Print_Area" localSheetId="8">塔内機器_出力②!$B$2:$AA$76</definedName>
    <definedName name="_xlnm.Print_Area" localSheetId="9">塔内機器_出力③!$B$2:$AA$76</definedName>
    <definedName name="_xlnm.Print_Area" localSheetId="6">塔内機器_入力①!$B$2:$AB$75</definedName>
    <definedName name="_xlnm.Print_Area" localSheetId="5">塔内機器_表紙!$B$2:$AA$24</definedName>
    <definedName name="補完_階床候補">塔内機器_入力①_DB!$C$2:$C$937</definedName>
  </definedNames>
  <calcPr calcId="181029" forceFullCalc="1"/>
</workbook>
</file>

<file path=xl/calcChain.xml><?xml version="1.0" encoding="utf-8"?>
<calcChain xmlns="http://schemas.openxmlformats.org/spreadsheetml/2006/main">
  <c r="AA23" i="12" l="1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9" i="12"/>
  <c r="AA8" i="12"/>
  <c r="AA7" i="12"/>
  <c r="AA6" i="12"/>
  <c r="AA5" i="12"/>
  <c r="AA4" i="12"/>
  <c r="U36" i="9"/>
  <c r="U35" i="9"/>
  <c r="U34" i="9"/>
  <c r="U33" i="9"/>
  <c r="U32" i="9"/>
  <c r="Y20" i="9"/>
  <c r="Y7" i="9" s="1"/>
  <c r="Y13" i="9"/>
  <c r="Y11" i="9"/>
  <c r="R7" i="9"/>
  <c r="Y4" i="9"/>
  <c r="C9" i="13" s="1"/>
  <c r="R4" i="9"/>
  <c r="Y6" i="9" s="1"/>
  <c r="B13" i="7"/>
  <c r="B11" i="6"/>
  <c r="C17" i="5"/>
  <c r="B17" i="5"/>
  <c r="E15" i="1"/>
  <c r="E14" i="1"/>
  <c r="E11" i="1"/>
  <c r="G3" i="1"/>
  <c r="C8" i="13"/>
  <c r="B23" i="14"/>
  <c r="E9" i="1" l="1"/>
  <c r="Y28" i="9"/>
  <c r="R8" i="9"/>
  <c r="R9" i="9" s="1"/>
  <c r="F8" i="13"/>
  <c r="F9" i="13" s="1"/>
  <c r="Z65" i="9"/>
  <c r="T52" i="5" s="1"/>
  <c r="Z61" i="9"/>
  <c r="T36" i="5" s="1"/>
  <c r="Z57" i="9"/>
  <c r="K52" i="5" s="1"/>
  <c r="Z53" i="9"/>
  <c r="K36" i="5" s="1"/>
  <c r="Z49" i="9"/>
  <c r="B52" i="5" s="1"/>
  <c r="Z45" i="9"/>
  <c r="B36" i="5" s="1"/>
  <c r="Z64" i="9"/>
  <c r="T48" i="5" s="1"/>
  <c r="Z60" i="9"/>
  <c r="K64" i="5" s="1"/>
  <c r="Z56" i="9"/>
  <c r="K48" i="5" s="1"/>
  <c r="Z52" i="9"/>
  <c r="B64" i="5" s="1"/>
  <c r="Z48" i="9"/>
  <c r="B48" i="5" s="1"/>
  <c r="Z68" i="9"/>
  <c r="T64" i="5" s="1"/>
  <c r="Z67" i="9"/>
  <c r="T60" i="5" s="1"/>
  <c r="Z63" i="9"/>
  <c r="T44" i="5" s="1"/>
  <c r="Z59" i="9"/>
  <c r="K60" i="5" s="1"/>
  <c r="Z55" i="9"/>
  <c r="K44" i="5" s="1"/>
  <c r="Z51" i="9"/>
  <c r="B60" i="5" s="1"/>
  <c r="Z47" i="9"/>
  <c r="B44" i="5" s="1"/>
  <c r="Z66" i="9"/>
  <c r="T56" i="5" s="1"/>
  <c r="Z62" i="9"/>
  <c r="T40" i="5" s="1"/>
  <c r="Z58" i="9"/>
  <c r="K56" i="5" s="1"/>
  <c r="Z54" i="9"/>
  <c r="K40" i="5" s="1"/>
  <c r="Z50" i="9"/>
  <c r="B56" i="5" s="1"/>
  <c r="Z46" i="9"/>
  <c r="B40" i="5" s="1"/>
  <c r="Y14" i="9"/>
  <c r="Y26" i="9"/>
  <c r="Y27" i="9" s="1"/>
  <c r="Y24" i="9"/>
  <c r="L5" i="9"/>
  <c r="Y25" i="9"/>
  <c r="B50" i="9" l="1"/>
  <c r="Q10" i="9"/>
  <c r="B54" i="9"/>
  <c r="Q14" i="9"/>
  <c r="B64" i="9"/>
  <c r="Q24" i="9"/>
  <c r="Q18" i="9"/>
  <c r="B58" i="9"/>
  <c r="B67" i="9"/>
  <c r="Q27" i="9"/>
  <c r="B45" i="9"/>
  <c r="Q5" i="9"/>
  <c r="O6" i="9" s="1"/>
  <c r="B59" i="9"/>
  <c r="Q19" i="9"/>
  <c r="Q23" i="9"/>
  <c r="B63" i="9"/>
  <c r="B62" i="9"/>
  <c r="Q22" i="9"/>
  <c r="B49" i="9"/>
  <c r="B22" i="8"/>
  <c r="Q9" i="9"/>
  <c r="B60" i="9"/>
  <c r="Q20" i="9"/>
  <c r="Q26" i="9"/>
  <c r="B66" i="9"/>
  <c r="B68" i="9"/>
  <c r="Q28" i="9"/>
  <c r="B53" i="9"/>
  <c r="Q13" i="9"/>
  <c r="B48" i="9"/>
  <c r="Q8" i="9"/>
  <c r="B57" i="9"/>
  <c r="Q17" i="9"/>
  <c r="B47" i="9"/>
  <c r="Q7" i="9"/>
  <c r="B51" i="9"/>
  <c r="Q11" i="9"/>
  <c r="B52" i="9"/>
  <c r="Q12" i="9"/>
  <c r="B61" i="9"/>
  <c r="Q21" i="9"/>
  <c r="B46" i="9"/>
  <c r="Q6" i="9"/>
  <c r="Q15" i="9"/>
  <c r="B55" i="9"/>
  <c r="B56" i="9"/>
  <c r="Q16" i="9"/>
  <c r="B65" i="9"/>
  <c r="Q25" i="9"/>
  <c r="O12" i="9" l="1"/>
  <c r="O10" i="9"/>
  <c r="AE59" i="9"/>
  <c r="AG59" i="9" s="1"/>
  <c r="AD59" i="9"/>
  <c r="F59" i="9"/>
  <c r="AC59" i="9"/>
  <c r="E59" i="9"/>
  <c r="AB59" i="9"/>
  <c r="C59" i="9"/>
  <c r="AA59" i="9"/>
  <c r="AH59" i="9"/>
  <c r="AI59" i="9" s="1"/>
  <c r="K59" i="9"/>
  <c r="AF59" i="9"/>
  <c r="I59" i="9"/>
  <c r="AD51" i="9"/>
  <c r="F51" i="9"/>
  <c r="AC51" i="9"/>
  <c r="AB51" i="9"/>
  <c r="C51" i="9"/>
  <c r="AA51" i="9"/>
  <c r="L25" i="9"/>
  <c r="I25" i="9"/>
  <c r="O26" i="9"/>
  <c r="O22" i="9"/>
  <c r="I21" i="9"/>
  <c r="L21" i="9"/>
  <c r="L17" i="9"/>
  <c r="I17" i="9"/>
  <c r="O18" i="9"/>
  <c r="K66" i="9"/>
  <c r="AF66" i="9"/>
  <c r="I66" i="9"/>
  <c r="AE66" i="9"/>
  <c r="AG66" i="9" s="1"/>
  <c r="AD66" i="9"/>
  <c r="F66" i="9"/>
  <c r="AC66" i="9"/>
  <c r="E66" i="9"/>
  <c r="AB66" i="9"/>
  <c r="C66" i="9"/>
  <c r="AA66" i="9"/>
  <c r="AH66" i="9"/>
  <c r="AI66" i="9" s="1"/>
  <c r="K62" i="9"/>
  <c r="AF62" i="9"/>
  <c r="I62" i="9"/>
  <c r="AE62" i="9"/>
  <c r="AG62" i="9" s="1"/>
  <c r="AD62" i="9"/>
  <c r="F62" i="9"/>
  <c r="AC62" i="9"/>
  <c r="E62" i="9"/>
  <c r="AB62" i="9"/>
  <c r="C62" i="9"/>
  <c r="AA62" i="9"/>
  <c r="AH62" i="9"/>
  <c r="AI62" i="9" s="1"/>
  <c r="AE67" i="9"/>
  <c r="AG67" i="9" s="1"/>
  <c r="AD67" i="9"/>
  <c r="F67" i="9"/>
  <c r="AC67" i="9"/>
  <c r="E67" i="9"/>
  <c r="AB67" i="9"/>
  <c r="C67" i="9"/>
  <c r="AA67" i="9"/>
  <c r="AH67" i="9"/>
  <c r="AI67" i="9" s="1"/>
  <c r="K67" i="9"/>
  <c r="AF67" i="9"/>
  <c r="I67" i="9"/>
  <c r="AD50" i="9"/>
  <c r="F50" i="9"/>
  <c r="AC50" i="9"/>
  <c r="AB50" i="9"/>
  <c r="AA50" i="9"/>
  <c r="C50" i="9" s="1"/>
  <c r="AA65" i="9"/>
  <c r="AH65" i="9"/>
  <c r="AI65" i="9" s="1"/>
  <c r="K65" i="9"/>
  <c r="AF65" i="9"/>
  <c r="I65" i="9"/>
  <c r="AE65" i="9"/>
  <c r="AG65" i="9" s="1"/>
  <c r="AD65" i="9"/>
  <c r="F65" i="9"/>
  <c r="AC65" i="9"/>
  <c r="E65" i="9"/>
  <c r="AB65" i="9"/>
  <c r="C65" i="9"/>
  <c r="AA61" i="9"/>
  <c r="AH61" i="9"/>
  <c r="AI61" i="9" s="1"/>
  <c r="K61" i="9"/>
  <c r="AF61" i="9"/>
  <c r="I61" i="9"/>
  <c r="AE61" i="9"/>
  <c r="AG61" i="9" s="1"/>
  <c r="AD61" i="9"/>
  <c r="F61" i="9"/>
  <c r="AC61" i="9"/>
  <c r="E61" i="9"/>
  <c r="AB61" i="9"/>
  <c r="C61" i="9"/>
  <c r="AA57" i="9"/>
  <c r="AH57" i="9"/>
  <c r="AI57" i="9" s="1"/>
  <c r="K57" i="9"/>
  <c r="AF57" i="9"/>
  <c r="I57" i="9"/>
  <c r="AE57" i="9"/>
  <c r="AG57" i="9" s="1"/>
  <c r="AD57" i="9"/>
  <c r="F57" i="9"/>
  <c r="AC57" i="9"/>
  <c r="E57" i="9"/>
  <c r="AB57" i="9"/>
  <c r="C57" i="9"/>
  <c r="L26" i="9"/>
  <c r="I26" i="9"/>
  <c r="O27" i="9"/>
  <c r="AE63" i="9"/>
  <c r="AG63" i="9" s="1"/>
  <c r="AD63" i="9"/>
  <c r="F63" i="9"/>
  <c r="AC63" i="9"/>
  <c r="E63" i="9"/>
  <c r="AB63" i="9"/>
  <c r="C63" i="9"/>
  <c r="AA63" i="9"/>
  <c r="AH63" i="9"/>
  <c r="AI63" i="9" s="1"/>
  <c r="K63" i="9"/>
  <c r="AF63" i="9"/>
  <c r="I63" i="9"/>
  <c r="K58" i="9"/>
  <c r="AF58" i="9"/>
  <c r="I58" i="9"/>
  <c r="AE58" i="9"/>
  <c r="AG58" i="9" s="1"/>
  <c r="AD58" i="9"/>
  <c r="F58" i="9"/>
  <c r="AC58" i="9"/>
  <c r="E58" i="9"/>
  <c r="AB58" i="9"/>
  <c r="C58" i="9"/>
  <c r="AA58" i="9"/>
  <c r="AH58" i="9"/>
  <c r="AI58" i="9" s="1"/>
  <c r="L16" i="9"/>
  <c r="I16" i="9"/>
  <c r="O17" i="9"/>
  <c r="I12" i="9"/>
  <c r="O13" i="9"/>
  <c r="L12" i="9"/>
  <c r="O9" i="9"/>
  <c r="L20" i="9"/>
  <c r="O21" i="9"/>
  <c r="I20" i="9"/>
  <c r="L23" i="9"/>
  <c r="I23" i="9"/>
  <c r="O24" i="9"/>
  <c r="L18" i="9"/>
  <c r="O19" i="9"/>
  <c r="I18" i="9"/>
  <c r="AC56" i="9"/>
  <c r="E56" i="9"/>
  <c r="AB56" i="9"/>
  <c r="C56" i="9"/>
  <c r="AA56" i="9"/>
  <c r="AH56" i="9"/>
  <c r="AI56" i="9" s="1"/>
  <c r="K56" i="9"/>
  <c r="AF56" i="9"/>
  <c r="I56" i="9"/>
  <c r="AE56" i="9"/>
  <c r="AG56" i="9" s="1"/>
  <c r="AD56" i="9"/>
  <c r="F56" i="9"/>
  <c r="AC52" i="9"/>
  <c r="E52" i="9"/>
  <c r="AB52" i="9"/>
  <c r="C52" i="9"/>
  <c r="AA52" i="9"/>
  <c r="AH52" i="9"/>
  <c r="AI52" i="9" s="1"/>
  <c r="K52" i="9"/>
  <c r="AF52" i="9"/>
  <c r="I52" i="9"/>
  <c r="AE52" i="9"/>
  <c r="AG52" i="9" s="1"/>
  <c r="AD52" i="9"/>
  <c r="F52" i="9"/>
  <c r="AC48" i="9"/>
  <c r="AB48" i="9"/>
  <c r="AA48" i="9"/>
  <c r="C48" i="9" s="1"/>
  <c r="AD48" i="9"/>
  <c r="F48" i="9"/>
  <c r="AC60" i="9"/>
  <c r="E60" i="9"/>
  <c r="AB60" i="9"/>
  <c r="C60" i="9"/>
  <c r="AA60" i="9"/>
  <c r="AH60" i="9"/>
  <c r="AI60" i="9" s="1"/>
  <c r="K60" i="9"/>
  <c r="AF60" i="9"/>
  <c r="I60" i="9"/>
  <c r="AE60" i="9"/>
  <c r="AG60" i="9" s="1"/>
  <c r="AD60" i="9"/>
  <c r="F60" i="9"/>
  <c r="O20" i="9"/>
  <c r="L19" i="9"/>
  <c r="I19" i="9"/>
  <c r="I24" i="9"/>
  <c r="O25" i="9"/>
  <c r="L24" i="9"/>
  <c r="AE55" i="9"/>
  <c r="AG55" i="9" s="1"/>
  <c r="AD55" i="9"/>
  <c r="F55" i="9"/>
  <c r="AC55" i="9"/>
  <c r="E55" i="9"/>
  <c r="AB55" i="9"/>
  <c r="C55" i="9"/>
  <c r="AA55" i="9"/>
  <c r="AH55" i="9"/>
  <c r="AI55" i="9" s="1"/>
  <c r="K55" i="9"/>
  <c r="AF55" i="9"/>
  <c r="I55" i="9"/>
  <c r="I13" i="9"/>
  <c r="L13" i="9"/>
  <c r="O14" i="9"/>
  <c r="AC64" i="9"/>
  <c r="E64" i="9"/>
  <c r="AB64" i="9"/>
  <c r="C64" i="9"/>
  <c r="AA64" i="9"/>
  <c r="AH64" i="9"/>
  <c r="AI64" i="9" s="1"/>
  <c r="K64" i="9"/>
  <c r="AF64" i="9"/>
  <c r="I64" i="9"/>
  <c r="AE64" i="9"/>
  <c r="AG64" i="9" s="1"/>
  <c r="AD64" i="9"/>
  <c r="F64" i="9"/>
  <c r="L15" i="9"/>
  <c r="I15" i="9"/>
  <c r="O16" i="9"/>
  <c r="AA53" i="9"/>
  <c r="AH53" i="9"/>
  <c r="AI53" i="9" s="1"/>
  <c r="K53" i="9"/>
  <c r="AF53" i="9"/>
  <c r="I53" i="9"/>
  <c r="AE53" i="9"/>
  <c r="AG53" i="9" s="1"/>
  <c r="AD53" i="9"/>
  <c r="F53" i="9"/>
  <c r="AC53" i="9"/>
  <c r="E53" i="9"/>
  <c r="AB53" i="9"/>
  <c r="C53" i="9"/>
  <c r="I14" i="9"/>
  <c r="O15" i="9"/>
  <c r="L14" i="9"/>
  <c r="O7" i="9"/>
  <c r="O8" i="9"/>
  <c r="L28" i="9"/>
  <c r="I28" i="9"/>
  <c r="AA49" i="9"/>
  <c r="C49" i="9" s="1"/>
  <c r="AD49" i="9"/>
  <c r="F49" i="9"/>
  <c r="AC49" i="9"/>
  <c r="AB49" i="9"/>
  <c r="AA45" i="9"/>
  <c r="C45" i="9" s="1"/>
  <c r="AD45" i="9"/>
  <c r="E45" i="9" s="1"/>
  <c r="F45" i="9"/>
  <c r="AC45" i="9"/>
  <c r="AB45" i="9"/>
  <c r="K54" i="9"/>
  <c r="AF54" i="9"/>
  <c r="I54" i="9"/>
  <c r="AE54" i="9"/>
  <c r="AG54" i="9" s="1"/>
  <c r="AD54" i="9"/>
  <c r="F54" i="9"/>
  <c r="AC54" i="9"/>
  <c r="E54" i="9"/>
  <c r="AB54" i="9"/>
  <c r="C54" i="9"/>
  <c r="AA54" i="9"/>
  <c r="AH54" i="9"/>
  <c r="AI54" i="9" s="1"/>
  <c r="AD46" i="9"/>
  <c r="F46" i="9"/>
  <c r="AC46" i="9"/>
  <c r="AB46" i="9"/>
  <c r="AA46" i="9"/>
  <c r="C46" i="9" s="1"/>
  <c r="AD47" i="9"/>
  <c r="F47" i="9"/>
  <c r="AC47" i="9"/>
  <c r="AB47" i="9"/>
  <c r="AA47" i="9"/>
  <c r="C47" i="9" s="1"/>
  <c r="AF68" i="9"/>
  <c r="F68" i="9"/>
  <c r="AE68" i="9"/>
  <c r="AG68" i="9" s="1"/>
  <c r="E68" i="9"/>
  <c r="AD68" i="9"/>
  <c r="AC68" i="9"/>
  <c r="K68" i="9"/>
  <c r="AH68" i="9"/>
  <c r="AI68" i="9" s="1"/>
  <c r="I68" i="9"/>
  <c r="I22" i="9"/>
  <c r="O23" i="9"/>
  <c r="L22" i="9"/>
  <c r="O28" i="9"/>
  <c r="L27" i="9"/>
  <c r="I27" i="9"/>
  <c r="O11" i="9"/>
  <c r="E46" i="9" l="1"/>
  <c r="E47" i="9"/>
  <c r="I9" i="9"/>
  <c r="L9" i="9" s="1"/>
  <c r="Y9" i="9"/>
  <c r="E50" i="9"/>
  <c r="E49" i="9"/>
  <c r="Y21" i="9"/>
  <c r="Y8" i="9"/>
  <c r="I8" i="9"/>
  <c r="L8" i="9" s="1"/>
  <c r="Y5" i="9"/>
  <c r="E48" i="9"/>
  <c r="Y12" i="9"/>
  <c r="Y10" i="9" s="1"/>
  <c r="I7" i="9"/>
  <c r="L7" i="9" s="1"/>
  <c r="I11" i="9"/>
  <c r="L11" i="9" s="1"/>
  <c r="E51" i="9"/>
  <c r="I10" i="9"/>
  <c r="L10" i="9" s="1"/>
  <c r="I6" i="9"/>
  <c r="L6" i="9" s="1"/>
  <c r="G46" i="9" l="1"/>
  <c r="I46" i="9" s="1"/>
  <c r="AF46" i="9" s="1"/>
  <c r="AJ60" i="9"/>
  <c r="G60" i="9"/>
  <c r="G45" i="9"/>
  <c r="I45" i="9" s="1"/>
  <c r="G49" i="9"/>
  <c r="I49" i="9" s="1"/>
  <c r="AJ57" i="9"/>
  <c r="AJ68" i="9"/>
  <c r="AJ65" i="9"/>
  <c r="G61" i="9"/>
  <c r="AJ62" i="9"/>
  <c r="Y15" i="9"/>
  <c r="Y16" i="9"/>
  <c r="B12" i="14" s="1"/>
  <c r="G53" i="9"/>
  <c r="AJ63" i="9"/>
  <c r="G66" i="9"/>
  <c r="AJ55" i="9"/>
  <c r="G68" i="9"/>
  <c r="AJ54" i="9"/>
  <c r="G62" i="9"/>
  <c r="AJ52" i="9"/>
  <c r="G64" i="9"/>
  <c r="AJ51" i="9"/>
  <c r="G51" i="9"/>
  <c r="I51" i="9" s="1"/>
  <c r="G56" i="9"/>
  <c r="AJ58" i="9"/>
  <c r="AJ67" i="9"/>
  <c r="G67" i="9"/>
  <c r="G50" i="9"/>
  <c r="I50" i="9" s="1"/>
  <c r="G47" i="9"/>
  <c r="I47" i="9" s="1"/>
  <c r="AJ66" i="9"/>
  <c r="G54" i="9"/>
  <c r="G58" i="9"/>
  <c r="AJ61" i="9"/>
  <c r="G63" i="9"/>
  <c r="AJ53" i="9"/>
  <c r="G52" i="9"/>
  <c r="G57" i="9"/>
  <c r="G59" i="9"/>
  <c r="G65" i="9"/>
  <c r="G48" i="9"/>
  <c r="I48" i="9" s="1"/>
  <c r="AJ59" i="9"/>
  <c r="G55" i="9"/>
  <c r="AJ64" i="9"/>
  <c r="AJ56" i="9"/>
  <c r="AH46" i="9" l="1"/>
  <c r="AI46" i="9" s="1"/>
  <c r="AE46" i="9"/>
  <c r="AG46" i="9" s="1"/>
  <c r="AH37" i="9"/>
  <c r="D22" i="9"/>
  <c r="AH32" i="9"/>
  <c r="Y36" i="9"/>
  <c r="Y37" i="9" s="1"/>
  <c r="AH33" i="9" s="1"/>
  <c r="Y38" i="9"/>
  <c r="D21" i="9"/>
  <c r="B69" i="5"/>
  <c r="K51" i="9"/>
  <c r="AH49" i="9"/>
  <c r="AI49" i="9" s="1"/>
  <c r="AF49" i="9"/>
  <c r="AE49" i="9"/>
  <c r="AG49" i="9" s="1"/>
  <c r="AH48" i="9"/>
  <c r="AI48" i="9" s="1"/>
  <c r="AF48" i="9"/>
  <c r="AE48" i="9"/>
  <c r="AG48" i="9" s="1"/>
  <c r="AF45" i="9"/>
  <c r="AE45" i="9"/>
  <c r="AG45" i="9" s="1"/>
  <c r="AH45" i="9"/>
  <c r="AI45" i="9" s="1"/>
  <c r="AF51" i="9"/>
  <c r="AE51" i="9"/>
  <c r="AG51" i="9" s="1"/>
  <c r="AH51" i="9"/>
  <c r="AI51" i="9" s="1"/>
  <c r="AE47" i="9"/>
  <c r="AG47" i="9" s="1"/>
  <c r="AH47" i="9"/>
  <c r="AI47" i="9" s="1"/>
  <c r="AF47" i="9"/>
  <c r="AE50" i="9"/>
  <c r="AG50" i="9" s="1"/>
  <c r="AH50" i="9"/>
  <c r="AI50" i="9" s="1"/>
  <c r="AF50" i="9"/>
  <c r="AJ46" i="9" l="1"/>
  <c r="K46" i="9"/>
  <c r="K49" i="9"/>
  <c r="AJ47" i="9"/>
  <c r="K50" i="9"/>
  <c r="K48" i="9"/>
  <c r="AH34" i="9"/>
  <c r="AH35" i="9" s="1"/>
  <c r="AJ50" i="9"/>
  <c r="AJ45" i="9"/>
  <c r="AJ48" i="9"/>
  <c r="K45" i="9"/>
  <c r="AJ49" i="9"/>
  <c r="AH38" i="9"/>
  <c r="K47" i="9"/>
  <c r="AH39" i="9" l="1"/>
  <c r="AH40" i="9" s="1"/>
  <c r="AH41" i="9" s="1"/>
  <c r="Y17" i="9"/>
  <c r="Y39" i="9"/>
  <c r="B22" i="6" l="1"/>
  <c r="D8" i="9"/>
  <c r="M19" i="6"/>
  <c r="D6" i="9"/>
  <c r="D5" i="9"/>
  <c r="D4" i="9"/>
  <c r="D9" i="9"/>
  <c r="D7" i="9"/>
  <c r="D38" i="9"/>
  <c r="D35" i="9"/>
  <c r="D33" i="9"/>
  <c r="D37" i="9"/>
  <c r="D39" i="9"/>
  <c r="H34" i="9"/>
  <c r="D36" i="9"/>
  <c r="U23" i="7"/>
  <c r="D34" i="9"/>
  <c r="Z26" i="7"/>
  <c r="D23" i="7"/>
  <c r="T23" i="7"/>
  <c r="T26" i="7"/>
  <c r="Z16" i="7"/>
  <c r="D31" i="9"/>
  <c r="Z23" i="7"/>
  <c r="B20" i="7"/>
  <c r="B23" i="7"/>
  <c r="U20" i="7"/>
  <c r="B26" i="7"/>
  <c r="B28" i="7" s="1"/>
  <c r="T20" i="7"/>
  <c r="U26" i="7"/>
  <c r="D26" i="7"/>
  <c r="AH36" i="9"/>
  <c r="Y22" i="9"/>
  <c r="Y18" i="9"/>
  <c r="B16" i="14" s="1"/>
  <c r="E60" i="7" l="1"/>
  <c r="M58" i="7"/>
  <c r="L60" i="7"/>
  <c r="T30" i="6"/>
  <c r="H30" i="6"/>
  <c r="E30" i="6"/>
  <c r="B30" i="6"/>
  <c r="R30" i="6"/>
  <c r="M30" i="6"/>
  <c r="J58" i="8"/>
  <c r="B54" i="8"/>
  <c r="E48" i="8"/>
  <c r="J42" i="8"/>
  <c r="B38" i="8"/>
  <c r="E32" i="8"/>
  <c r="J26" i="8"/>
  <c r="B58" i="8"/>
  <c r="E52" i="8"/>
  <c r="J46" i="8"/>
  <c r="B42" i="8"/>
  <c r="E36" i="8"/>
  <c r="J30" i="8"/>
  <c r="B26" i="8"/>
  <c r="E20" i="8"/>
  <c r="J14" i="8"/>
  <c r="B52" i="8"/>
  <c r="J44" i="8"/>
  <c r="E38" i="8"/>
  <c r="E30" i="8"/>
  <c r="B24" i="8"/>
  <c r="J16" i="8"/>
  <c r="J56" i="8"/>
  <c r="E50" i="8"/>
  <c r="B44" i="8"/>
  <c r="B36" i="8"/>
  <c r="J28" i="8"/>
  <c r="E22" i="8"/>
  <c r="B16" i="8"/>
  <c r="E56" i="8"/>
  <c r="B50" i="8"/>
  <c r="E42" i="8"/>
  <c r="J34" i="8"/>
  <c r="E28" i="8"/>
  <c r="J20" i="8"/>
  <c r="E14" i="8"/>
  <c r="E58" i="8"/>
  <c r="J50" i="8"/>
  <c r="E44" i="8"/>
  <c r="J36" i="8"/>
  <c r="B30" i="8"/>
  <c r="J22" i="8"/>
  <c r="E16" i="8"/>
  <c r="J48" i="8"/>
  <c r="E34" i="8"/>
  <c r="B20" i="8"/>
  <c r="B46" i="8"/>
  <c r="B32" i="8"/>
  <c r="B18" i="8"/>
  <c r="B34" i="8"/>
  <c r="J32" i="8"/>
  <c r="B56" i="8"/>
  <c r="J40" i="8"/>
  <c r="B28" i="8"/>
  <c r="B14" i="8"/>
  <c r="J54" i="8"/>
  <c r="E40" i="8"/>
  <c r="E26" i="8"/>
  <c r="J38" i="8"/>
  <c r="E24" i="8"/>
  <c r="J18" i="8"/>
  <c r="E18" i="8"/>
  <c r="E54" i="8"/>
  <c r="B40" i="8"/>
  <c r="J24" i="8"/>
  <c r="J52" i="8"/>
  <c r="B48" i="8"/>
  <c r="E46" i="8"/>
  <c r="E40" i="7"/>
  <c r="L40" i="7"/>
  <c r="E33" i="6"/>
  <c r="B33" i="6"/>
  <c r="H33" i="6"/>
  <c r="T33" i="6"/>
  <c r="R33" i="6"/>
  <c r="M33" i="6"/>
  <c r="T27" i="6"/>
  <c r="M27" i="6"/>
  <c r="R27" i="6"/>
  <c r="B27" i="6"/>
  <c r="E27" i="6"/>
  <c r="H27" i="6"/>
  <c r="L50" i="7"/>
  <c r="E50" i="7"/>
  <c r="M48" i="7"/>
  <c r="L70" i="7"/>
  <c r="E70" i="7"/>
  <c r="M68" i="7"/>
  <c r="M43" i="7"/>
  <c r="S43" i="7" s="1"/>
  <c r="L45" i="7"/>
  <c r="E45" i="7"/>
  <c r="B19" i="6"/>
  <c r="L19" i="6"/>
  <c r="R19" i="6"/>
  <c r="L30" i="7"/>
  <c r="E30" i="7"/>
  <c r="H33" i="9"/>
  <c r="T39" i="6"/>
  <c r="M39" i="6"/>
  <c r="R39" i="6"/>
  <c r="E39" i="6"/>
  <c r="H39" i="6"/>
  <c r="B39" i="6"/>
  <c r="E55" i="7"/>
  <c r="M53" i="7"/>
  <c r="L55" i="7"/>
  <c r="M63" i="7"/>
  <c r="L65" i="7"/>
  <c r="E65" i="7"/>
  <c r="Y23" i="9"/>
  <c r="B75" i="7" s="1"/>
  <c r="D32" i="9"/>
  <c r="M38" i="7" s="1"/>
  <c r="M36" i="6"/>
  <c r="E36" i="6"/>
  <c r="H36" i="6"/>
  <c r="R36" i="6"/>
  <c r="B36" i="6"/>
  <c r="T36" i="6"/>
  <c r="T42" i="6"/>
  <c r="M42" i="6"/>
  <c r="R42" i="6"/>
  <c r="H42" i="6"/>
  <c r="E42" i="6"/>
  <c r="B42" i="6"/>
  <c r="I48" i="7" l="1"/>
  <c r="S48" i="7"/>
  <c r="H40" i="7"/>
  <c r="B40" i="7"/>
  <c r="Y40" i="7"/>
  <c r="V40" i="7"/>
  <c r="S40" i="7"/>
  <c r="Q40" i="7"/>
  <c r="I63" i="7"/>
  <c r="S63" i="7"/>
  <c r="S50" i="7"/>
  <c r="H50" i="7"/>
  <c r="Q50" i="7"/>
  <c r="V50" i="7"/>
  <c r="B50" i="7"/>
  <c r="Y50" i="7"/>
  <c r="H55" i="7"/>
  <c r="B55" i="7"/>
  <c r="Y55" i="7"/>
  <c r="V55" i="7"/>
  <c r="S55" i="7"/>
  <c r="Q55" i="7"/>
  <c r="B45" i="7"/>
  <c r="V45" i="7"/>
  <c r="Y45" i="7"/>
  <c r="S45" i="7"/>
  <c r="H45" i="7"/>
  <c r="Q45" i="7"/>
  <c r="S53" i="7"/>
  <c r="I53" i="7"/>
  <c r="S38" i="7"/>
  <c r="I38" i="7"/>
  <c r="V60" i="7"/>
  <c r="S60" i="7"/>
  <c r="Y60" i="7"/>
  <c r="Q60" i="7"/>
  <c r="B60" i="7"/>
  <c r="H60" i="7"/>
  <c r="V65" i="7"/>
  <c r="Y65" i="7"/>
  <c r="Q65" i="7"/>
  <c r="S65" i="7"/>
  <c r="H65" i="7"/>
  <c r="B65" i="7"/>
  <c r="S58" i="7"/>
  <c r="I58" i="7"/>
  <c r="I68" i="7"/>
  <c r="S68" i="7"/>
  <c r="L35" i="7"/>
  <c r="M33" i="7"/>
  <c r="E35" i="7"/>
  <c r="B30" i="7"/>
  <c r="V30" i="7"/>
  <c r="Y30" i="7"/>
  <c r="Q30" i="7"/>
  <c r="H30" i="7"/>
  <c r="S30" i="7"/>
  <c r="B75" i="8"/>
  <c r="B74" i="5"/>
  <c r="C10" i="13"/>
  <c r="B89" i="6"/>
  <c r="S70" i="7"/>
  <c r="H70" i="7"/>
  <c r="Q70" i="7"/>
  <c r="B70" i="7"/>
  <c r="V70" i="7"/>
  <c r="Y70" i="7"/>
  <c r="I33" i="7" l="1"/>
  <c r="S33" i="7"/>
  <c r="S35" i="7"/>
  <c r="Q35" i="7"/>
  <c r="Y35" i="7"/>
  <c r="V35" i="7"/>
  <c r="H35" i="7"/>
  <c r="B35" i="7"/>
</calcChain>
</file>

<file path=xl/sharedStrings.xml><?xml version="1.0" encoding="utf-8"?>
<sst xmlns="http://schemas.openxmlformats.org/spreadsheetml/2006/main" count="16733" uniqueCount="2306">
  <si>
    <t>CSV連携項目</t>
  </si>
  <si>
    <t>No</t>
  </si>
  <si>
    <t>項目名</t>
  </si>
  <si>
    <t>値</t>
  </si>
  <si>
    <t>依頼番号</t>
  </si>
  <si>
    <t>ラベル4</t>
  </si>
  <si>
    <t>作番</t>
  </si>
  <si>
    <t>ラベル5</t>
  </si>
  <si>
    <t>帳票シートID</t>
  </si>
  <si>
    <t>ラベル6</t>
  </si>
  <si>
    <t>リンク先</t>
  </si>
  <si>
    <t>ラベル7</t>
  </si>
  <si>
    <t>テナント情報</t>
  </si>
  <si>
    <t>ラベル8</t>
  </si>
  <si>
    <t>フォルダ1</t>
  </si>
  <si>
    <t>作成日(年/月/日)yy/㎜/dd</t>
  </si>
  <si>
    <t>作番現場名(フォルダ2)</t>
  </si>
  <si>
    <t>件名(作業指示件名)</t>
  </si>
  <si>
    <t>フォルダ3用データ</t>
  </si>
  <si>
    <t>Ｅ作番</t>
  </si>
  <si>
    <t>フォルダ4</t>
  </si>
  <si>
    <t>協力会社コード</t>
  </si>
  <si>
    <t>フォルダ5</t>
  </si>
  <si>
    <t>協力会社名（正式）</t>
  </si>
  <si>
    <t>項目マスタID</t>
  </si>
  <si>
    <t>協力会社名（短縮）</t>
  </si>
  <si>
    <t>水戸作番(セ番)</t>
  </si>
  <si>
    <t>表紙フラグ</t>
  </si>
  <si>
    <t>(水)項番</t>
  </si>
  <si>
    <t>予備1</t>
  </si>
  <si>
    <t>ラベル1</t>
  </si>
  <si>
    <t>予備2</t>
  </si>
  <si>
    <t>ラベル2</t>
  </si>
  <si>
    <t>予備3</t>
  </si>
  <si>
    <t>ラベル3</t>
  </si>
  <si>
    <t>予備4</t>
  </si>
  <si>
    <t>GateWay連携項目</t>
  </si>
  <si>
    <t>審査情報</t>
  </si>
  <si>
    <t>作成日</t>
  </si>
  <si>
    <t/>
  </si>
  <si>
    <t>承認者</t>
  </si>
  <si>
    <t>作成者</t>
  </si>
  <si>
    <t>予備１</t>
  </si>
  <si>
    <t>審査日</t>
  </si>
  <si>
    <t>予備２</t>
  </si>
  <si>
    <t>審査者</t>
  </si>
  <si>
    <t>予備３</t>
  </si>
  <si>
    <t>承認日</t>
  </si>
  <si>
    <t>予備４</t>
  </si>
  <si>
    <t>基本情報</t>
  </si>
  <si>
    <t>現場名</t>
  </si>
  <si>
    <t>階床名</t>
  </si>
  <si>
    <t>1-7</t>
  </si>
  <si>
    <t>住所</t>
  </si>
  <si>
    <t>工事工法</t>
  </si>
  <si>
    <t>保全セ＃</t>
  </si>
  <si>
    <t>作業内容1</t>
  </si>
  <si>
    <t>品名型式</t>
  </si>
  <si>
    <t>UAP-13-2S45</t>
  </si>
  <si>
    <t>作業内容2</t>
  </si>
  <si>
    <t>機種コード</t>
  </si>
  <si>
    <t>作業内容3</t>
  </si>
  <si>
    <t>号機</t>
  </si>
  <si>
    <t>作業内容4</t>
  </si>
  <si>
    <t>台数</t>
  </si>
  <si>
    <t>作業内容5</t>
  </si>
  <si>
    <t>停止</t>
  </si>
  <si>
    <t>不停止</t>
  </si>
  <si>
    <t>速度</t>
  </si>
  <si>
    <t>積載量</t>
  </si>
  <si>
    <t>定員</t>
  </si>
  <si>
    <t>予備5</t>
  </si>
  <si>
    <t>受注情報</t>
  </si>
  <si>
    <t>契約件名</t>
  </si>
  <si>
    <t>建築会社</t>
  </si>
  <si>
    <t>担当名</t>
  </si>
  <si>
    <t>契約内訳(本訳)</t>
  </si>
  <si>
    <t>ＴＥＬ</t>
  </si>
  <si>
    <t>契約工期</t>
  </si>
  <si>
    <t>特約店</t>
  </si>
  <si>
    <t>別途・組下区分</t>
  </si>
  <si>
    <t>管理会社</t>
  </si>
  <si>
    <t>保守営業所名</t>
  </si>
  <si>
    <t>管理組合</t>
  </si>
  <si>
    <t>受注経路CD</t>
  </si>
  <si>
    <t>商社他</t>
  </si>
  <si>
    <t>受注経路</t>
  </si>
  <si>
    <t>注文主</t>
  </si>
  <si>
    <t>需要先</t>
  </si>
  <si>
    <t>技術者専任要否</t>
  </si>
  <si>
    <t>設計事務所</t>
  </si>
  <si>
    <t>会社名</t>
  </si>
  <si>
    <t>所長名</t>
  </si>
  <si>
    <t>確認申請</t>
  </si>
  <si>
    <t>認可日</t>
  </si>
  <si>
    <t>認可番号</t>
  </si>
  <si>
    <t>確認申請担当者</t>
  </si>
  <si>
    <t>工事工程</t>
  </si>
  <si>
    <t>仕決日</t>
  </si>
  <si>
    <t>完成検査</t>
  </si>
  <si>
    <t>施工検討会</t>
  </si>
  <si>
    <t>官庁検査</t>
  </si>
  <si>
    <t>予定日</t>
  </si>
  <si>
    <t>製品搬入</t>
  </si>
  <si>
    <t>搬入日</t>
  </si>
  <si>
    <t>据付合格</t>
  </si>
  <si>
    <t>搬入時間</t>
  </si>
  <si>
    <t>完成合格</t>
  </si>
  <si>
    <t>撤去開始日</t>
  </si>
  <si>
    <t>現場管理引継書受付日</t>
  </si>
  <si>
    <t>監視盤切離し</t>
  </si>
  <si>
    <t>工事中保守依頼(伝送日)</t>
  </si>
  <si>
    <t>撤去中断</t>
  </si>
  <si>
    <t>開始日</t>
  </si>
  <si>
    <t>引継日</t>
  </si>
  <si>
    <t>終了日</t>
  </si>
  <si>
    <t>引渡納期</t>
  </si>
  <si>
    <t>撤去完了日</t>
  </si>
  <si>
    <t>ＯＨ</t>
  </si>
  <si>
    <t>揚重日</t>
  </si>
  <si>
    <t>着工日</t>
  </si>
  <si>
    <t>竣工日</t>
  </si>
  <si>
    <t>枠付先行</t>
  </si>
  <si>
    <t>据付完了(据付検査)</t>
  </si>
  <si>
    <t>工事用使用</t>
  </si>
  <si>
    <t>工事中断１</t>
  </si>
  <si>
    <t>予備6</t>
  </si>
  <si>
    <t>予備7</t>
  </si>
  <si>
    <t>現場情報</t>
  </si>
  <si>
    <t>環境</t>
  </si>
  <si>
    <t>仮設電源有無</t>
  </si>
  <si>
    <t>協力会社</t>
  </si>
  <si>
    <t>作業員２</t>
  </si>
  <si>
    <t>氏名</t>
  </si>
  <si>
    <t>仮設電源引込み距離</t>
  </si>
  <si>
    <t>コード</t>
  </si>
  <si>
    <t>搬入揚重経路</t>
  </si>
  <si>
    <t>技能者ID</t>
  </si>
  <si>
    <t>就業規則</t>
  </si>
  <si>
    <t>出勤時間</t>
  </si>
  <si>
    <t>朝礼（昼礼・夕礼）時間</t>
  </si>
  <si>
    <t>経験年数</t>
  </si>
  <si>
    <t>作業終了時間</t>
  </si>
  <si>
    <t>資格教育</t>
  </si>
  <si>
    <t>残業制限の有無</t>
  </si>
  <si>
    <t>健康診断実施日</t>
  </si>
  <si>
    <t>全休指定日</t>
  </si>
  <si>
    <t>氏名(カナ)</t>
  </si>
  <si>
    <t>一斉清掃実施日</t>
  </si>
  <si>
    <t>雇用年月日</t>
  </si>
  <si>
    <t>定例打合せ時間</t>
  </si>
  <si>
    <t>生年月日</t>
  </si>
  <si>
    <t>緊急連絡先</t>
  </si>
  <si>
    <t>所轄消防署</t>
  </si>
  <si>
    <t>名称</t>
  </si>
  <si>
    <t>年齢</t>
  </si>
  <si>
    <t>現住所</t>
  </si>
  <si>
    <t>所轄警察署</t>
  </si>
  <si>
    <t>家族連絡先</t>
  </si>
  <si>
    <t>家族連絡先(TEL)</t>
  </si>
  <si>
    <t>緊急病院</t>
  </si>
  <si>
    <t>血液型</t>
  </si>
  <si>
    <t>特殊健康診断日</t>
  </si>
  <si>
    <t>所轄監督署</t>
  </si>
  <si>
    <t>特殊健康診断種類</t>
  </si>
  <si>
    <t>雇用・職長</t>
  </si>
  <si>
    <t>営業部門</t>
  </si>
  <si>
    <t>特別教育</t>
  </si>
  <si>
    <t>部署名</t>
  </si>
  <si>
    <t>技能講習</t>
  </si>
  <si>
    <t>免許</t>
  </si>
  <si>
    <t>部長</t>
  </si>
  <si>
    <t>作業員３</t>
  </si>
  <si>
    <t>課長</t>
  </si>
  <si>
    <t>係長</t>
  </si>
  <si>
    <t>担当</t>
  </si>
  <si>
    <t>仕決部門</t>
  </si>
  <si>
    <t>支社名</t>
  </si>
  <si>
    <t>現場代理人</t>
  </si>
  <si>
    <t>夜間・休日ＴＥＬ</t>
  </si>
  <si>
    <t>主任技術者</t>
  </si>
  <si>
    <t>資格情報</t>
  </si>
  <si>
    <t>施設部門</t>
  </si>
  <si>
    <t>組織名</t>
  </si>
  <si>
    <t>作業員４</t>
  </si>
  <si>
    <t>施工部門ＴＥＬ</t>
  </si>
  <si>
    <t>代表者</t>
  </si>
  <si>
    <t>役職</t>
  </si>
  <si>
    <t>建設業許可</t>
  </si>
  <si>
    <t>特定or一般</t>
  </si>
  <si>
    <t>建設業の種類</t>
  </si>
  <si>
    <t>許可番号</t>
  </si>
  <si>
    <t>許可年月日</t>
  </si>
  <si>
    <t>工事責任者</t>
  </si>
  <si>
    <t>安全衛生
責任者</t>
  </si>
  <si>
    <t>安全衛生推進者</t>
  </si>
  <si>
    <t>雇用管理責任者</t>
  </si>
  <si>
    <t>事業者ID</t>
  </si>
  <si>
    <t>作業員５</t>
  </si>
  <si>
    <t>会社TEL</t>
  </si>
  <si>
    <t>代表者名</t>
  </si>
  <si>
    <t>担当者</t>
  </si>
  <si>
    <t>作業長</t>
  </si>
  <si>
    <t>作業員６</t>
  </si>
  <si>
    <t>副作業長</t>
  </si>
  <si>
    <t>作業員７</t>
  </si>
  <si>
    <t>S</t>
  </si>
  <si>
    <t>予備8</t>
  </si>
  <si>
    <t>予備9</t>
  </si>
  <si>
    <t>予備10</t>
  </si>
  <si>
    <t>予備11</t>
  </si>
  <si>
    <t>予備12</t>
  </si>
  <si>
    <t>現場ツール用</t>
  </si>
  <si>
    <t>仕様情報</t>
  </si>
  <si>
    <t>仕様(標準、2方向、展望、トランク)</t>
  </si>
  <si>
    <t>標準（Cwtｾﾌﾃｨ付）</t>
  </si>
  <si>
    <t>D3寸法</t>
  </si>
  <si>
    <t>OP</t>
  </si>
  <si>
    <t>かご奥行寸法</t>
  </si>
  <si>
    <t>耐震(A耐震、S耐震)</t>
  </si>
  <si>
    <t>行程</t>
  </si>
  <si>
    <t>ピット深さ</t>
  </si>
  <si>
    <t>巻上機配置</t>
  </si>
  <si>
    <t>Ｃｗｔ配置</t>
  </si>
  <si>
    <t>後</t>
  </si>
  <si>
    <t>予備５</t>
  </si>
  <si>
    <t>D1寸法</t>
  </si>
  <si>
    <t>予備６</t>
  </si>
  <si>
    <t>労災保険</t>
  </si>
  <si>
    <t>保険関係成立年月日</t>
  </si>
  <si>
    <t>労災保険番号</t>
  </si>
  <si>
    <t>支社住所</t>
  </si>
  <si>
    <t>支社長名</t>
  </si>
  <si>
    <t>改定日：２０２３年３月１日</t>
  </si>
  <si>
    <t>情報更新画面</t>
  </si>
  <si>
    <t>目次</t>
  </si>
  <si>
    <t>自動計算ツール</t>
  </si>
  <si>
    <t>基準芯出し自動計算ツール</t>
  </si>
  <si>
    <t>適用機種　：UA-21G，UA-23T
適用外　　：１．出入口二方向
　　　　　　２．【UA-21G】巻上機・制御盤嵩上げ仕様
　　　　　　３．【UA-23T】UAEP形式,4P-CO仕様</t>
  </si>
  <si>
    <t>トップレール加工要否検討ツール</t>
  </si>
  <si>
    <t>適用機種　：UA-21G
適用外　　：１．工場でレール切断がされている場合
　　　　　　２．下記仕様条件をすべて満たす場合
    　　　　　　①R 9（二方向）, ②定格速度 105m/min,③可変速仕様有り
    　　　　　　   ④行程:30m 以下,⑤ CwtRG:550 ㎜</t>
  </si>
  <si>
    <t>レール調整プレート自動計算ツール</t>
  </si>
  <si>
    <t>適用機種　：UA-23T
適用外　　：レール高さ調整機構"無し"時</t>
  </si>
  <si>
    <t>レール高さ調整機構無し時の
　　　　　対応方法選定フロー検討ツール</t>
  </si>
  <si>
    <t>適用機種　：UA-23T
適用外　　：レール高さ調整機構"有り"時</t>
  </si>
  <si>
    <t>塔内機器取付位置自動計算ツール</t>
  </si>
  <si>
    <t>適用機種　：UA-21G，UA-23T
適用外　　：【UA-21G】巻上機・制御盤嵩上げ仕様
　　　　　　【UA-23T】4P-CO仕様　一部機能適用外</t>
  </si>
  <si>
    <t>遮蔽板取付位置自動計算ツール</t>
  </si>
  <si>
    <t>適用機種　：UA-23T
適用外　　：無し</t>
  </si>
  <si>
    <t>表紙</t>
  </si>
  <si>
    <t>塔内機器取付位置計算ツール</t>
  </si>
  <si>
    <t>塔内機器取付位置計算ツール概要
・塔内機器(ガバナロープ振れ止め、主ロープ振れ止め、テールコード玉返し、フェッシャープレート)の取付位置を検討するツール
適用機種　：UA-21G，UA-23T
適用外　　：【UA-21G】巻上機・制御盤嵩上げ仕様
                  【UA-23T】4P-CO仕様　一部機能適用外</t>
  </si>
  <si>
    <t>作番の情報を入力</t>
  </si>
  <si>
    <t>塔内機器取付位置計算ツール (1/4)</t>
  </si>
  <si>
    <t>①作番</t>
  </si>
  <si>
    <t>②現場名</t>
  </si>
  <si>
    <t>③機種コード</t>
  </si>
  <si>
    <t>④OP</t>
  </si>
  <si>
    <t>UA-25TP</t>
  </si>
  <si>
    <t>⑤全高 ※仮想OH有は、仮想OHまでの寸法記入</t>
  </si>
  <si>
    <t>⑥行程</t>
  </si>
  <si>
    <t>ｍｍ</t>
  </si>
  <si>
    <t>⑦ピット深さ寸法</t>
  </si>
  <si>
    <t>⑧出入口遮煙仕様</t>
  </si>
  <si>
    <t>有</t>
  </si>
  <si>
    <t>⑨階高寸法</t>
  </si>
  <si>
    <t>階</t>
  </si>
  <si>
    <t>階高(mm)</t>
  </si>
  <si>
    <t>塔内機器取付位置の確認①</t>
  </si>
  <si>
    <t>塔内機器取付位置計算ツール (2/4)</t>
  </si>
  <si>
    <t>Cwtセフティの判定</t>
  </si>
  <si>
    <t>Cwtセフティ付きか</t>
  </si>
  <si>
    <t>ガバナロープ振れ止め員数及び取付位置の確認</t>
  </si>
  <si>
    <t>塔内機器取付位置の確認②</t>
  </si>
  <si>
    <t>塔内機器取付位置計算ツール (3/4)</t>
  </si>
  <si>
    <t>制御盤位置の確認</t>
  </si>
  <si>
    <t>最上階FLから制御盤下端までの距離</t>
  </si>
  <si>
    <t>テールコードブラケットの員数及び取付位置の確認</t>
  </si>
  <si>
    <t>塔内機器取付位置の確認③</t>
  </si>
  <si>
    <t>塔内機器取付位置計算ツール (4/4)</t>
  </si>
  <si>
    <t>各階フェッシャープレートの組合せを確認</t>
  </si>
  <si>
    <t>フェッシャー高さ（mm）【員数】</t>
  </si>
  <si>
    <t>～</t>
  </si>
  <si>
    <t>：</t>
  </si>
  <si>
    <t>■ガバナロープ振れ止め取付高さ</t>
  </si>
  <si>
    <t>■各階高さ</t>
  </si>
  <si>
    <t>■フィッシャープレート組合せ</t>
  </si>
  <si>
    <t>階高</t>
  </si>
  <si>
    <t>仕様（型式+OP+遮煙）</t>
  </si>
  <si>
    <t>つ目</t>
  </si>
  <si>
    <t>㎜</t>
  </si>
  <si>
    <t>№</t>
  </si>
  <si>
    <t>各階高さ(mm)</t>
  </si>
  <si>
    <t>ピット</t>
  </si>
  <si>
    <t>■中間振れ止め/テールコードサポート仕様</t>
  </si>
  <si>
    <t>■テールコード最上部ブラケット</t>
  </si>
  <si>
    <t>■ケーブルサポート・テールコードサポートブラ取付高さ</t>
  </si>
  <si>
    <t>■ケーブルサポートブラ手配員数表</t>
  </si>
  <si>
    <t>mm</t>
  </si>
  <si>
    <t>全高 TH</t>
  </si>
  <si>
    <t>員数</t>
  </si>
  <si>
    <t>機種(P型)</t>
  </si>
  <si>
    <t>判定</t>
  </si>
  <si>
    <t>ピッチ</t>
  </si>
  <si>
    <t>~</t>
  </si>
  <si>
    <t>P-6</t>
  </si>
  <si>
    <t>P-9</t>
  </si>
  <si>
    <t>P-11</t>
  </si>
  <si>
    <t>P-13</t>
  </si>
  <si>
    <t>P-15</t>
  </si>
  <si>
    <t>■除く不停止階の階計算</t>
  </si>
  <si>
    <t>有効階</t>
  </si>
  <si>
    <t>合計階高</t>
  </si>
  <si>
    <t>仕様検索</t>
  </si>
  <si>
    <t>No.</t>
  </si>
  <si>
    <t>区分</t>
  </si>
  <si>
    <t>1(最下階)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</si>
  <si>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</si>
  <si>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</si>
  <si>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</si>
  <si>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</si>
  <si>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</si>
  <si>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</si>
  <si>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</si>
  <si>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</si>
  <si>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</si>
  <si>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</si>
  <si>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</si>
  <si>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</si>
  <si>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</si>
  <si>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</si>
  <si>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</si>
  <si>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</si>
  <si>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</si>
  <si>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</si>
  <si>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</si>
  <si>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</si>
  <si>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</si>
  <si>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</si>
  <si>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</si>
  <si>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既存</t>
  </si>
  <si>
    <t>B5-B2,B1N,1</t>
  </si>
  <si>
    <t>B5</t>
  </si>
  <si>
    <t>B4</t>
  </si>
  <si>
    <t>B3</t>
  </si>
  <si>
    <t>B2</t>
  </si>
  <si>
    <t>B1N</t>
  </si>
  <si>
    <t>1</t>
  </si>
  <si>
    <t>B5-B1,1</t>
  </si>
  <si>
    <t>B1</t>
  </si>
  <si>
    <t>B5,B3,B2</t>
  </si>
  <si>
    <t>B4,B3N,B2N,B1U</t>
  </si>
  <si>
    <t>B3N</t>
  </si>
  <si>
    <t>B2N</t>
  </si>
  <si>
    <t>B1U</t>
  </si>
  <si>
    <t>B4-B3</t>
  </si>
  <si>
    <t>B4-B1</t>
  </si>
  <si>
    <t>B4,B3,B2,B1,1</t>
  </si>
  <si>
    <t>B4-B1,1</t>
  </si>
  <si>
    <t>B4-B3,B1,1</t>
  </si>
  <si>
    <t>B3,B2N-B1N,1-2</t>
  </si>
  <si>
    <t>B3,B2N,B1,1</t>
  </si>
  <si>
    <t>B3,B2</t>
  </si>
  <si>
    <t>B3-B2</t>
  </si>
  <si>
    <t>B3,B2,B1N,1</t>
  </si>
  <si>
    <t>B3-B2,B1N,1,2N-4N,5-</t>
  </si>
  <si>
    <t>2N</t>
  </si>
  <si>
    <t>3N</t>
  </si>
  <si>
    <t>4N</t>
  </si>
  <si>
    <t>5-</t>
  </si>
  <si>
    <t>B3,B2,B1</t>
  </si>
  <si>
    <t>B3-B1</t>
  </si>
  <si>
    <t>B3,B2,B1,B1U,1-5,5U</t>
  </si>
  <si>
    <t>5U</t>
  </si>
  <si>
    <t>B3,B2,B1,1</t>
  </si>
  <si>
    <t>B3-B1,1</t>
  </si>
  <si>
    <t>B3-B1,1-2</t>
  </si>
  <si>
    <t>B3-B1,1-3</t>
  </si>
  <si>
    <t>B3,B2,B1,1-3,4N,5,6</t>
  </si>
  <si>
    <t>B3-B1,1-4</t>
  </si>
  <si>
    <t>B3-B1,1-5</t>
  </si>
  <si>
    <t>B3,B2,B1,1-6</t>
  </si>
  <si>
    <t>B3-B1,1-13</t>
  </si>
  <si>
    <t>B3,B2,B1,1-14</t>
  </si>
  <si>
    <t>B3-B1,1-3,R</t>
  </si>
  <si>
    <t>R</t>
  </si>
  <si>
    <t>B3,B2,1</t>
  </si>
  <si>
    <t>B3,B2U,B1</t>
  </si>
  <si>
    <t>B2U</t>
  </si>
  <si>
    <t>B3,B2U,B1U,1U</t>
  </si>
  <si>
    <t>1U</t>
  </si>
  <si>
    <t>B3,B1N,1</t>
  </si>
  <si>
    <t>B3,B1</t>
  </si>
  <si>
    <t>B3,B1,1</t>
  </si>
  <si>
    <t>B3,1</t>
  </si>
  <si>
    <t>B2,B1N,1</t>
  </si>
  <si>
    <t>B2,B1N,1,2N,3-6</t>
  </si>
  <si>
    <t>B2,B1N,1-2</t>
  </si>
  <si>
    <t>B2,B1N,1,2,3N,4,5</t>
  </si>
  <si>
    <t>B2,B1N,1-7</t>
  </si>
  <si>
    <t>B2,B1</t>
  </si>
  <si>
    <t>B2-B1</t>
  </si>
  <si>
    <t>B2-B1,LB</t>
  </si>
  <si>
    <t>LB</t>
  </si>
  <si>
    <t>B2,B1,1</t>
  </si>
  <si>
    <t>追加</t>
  </si>
  <si>
    <t>B2,B1,1-1</t>
  </si>
  <si>
    <t>B2-B1,1</t>
  </si>
  <si>
    <t>B2,B1,1,1U,2-12</t>
  </si>
  <si>
    <t>B2,B1,1,1U,2-12,R</t>
  </si>
  <si>
    <t>B2-B1,1,2N-6N,7</t>
  </si>
  <si>
    <t>5N</t>
  </si>
  <si>
    <t>6N</t>
  </si>
  <si>
    <t>B2-B1,1,2N,3-9</t>
  </si>
  <si>
    <t>B2,B1,1,2</t>
  </si>
  <si>
    <t>B2,B1,1-2</t>
  </si>
  <si>
    <t>B2-B1,1-2</t>
  </si>
  <si>
    <t>B2,B1,1,2,3N-4N,5</t>
  </si>
  <si>
    <t>B2,B1,1-3</t>
  </si>
  <si>
    <t>B2-B1,1-3</t>
  </si>
  <si>
    <t>B2,B1,1-4</t>
  </si>
  <si>
    <t>B2-B1,1-4</t>
  </si>
  <si>
    <t>B2,B1,1-5</t>
  </si>
  <si>
    <t>B2,B1,1-6</t>
  </si>
  <si>
    <t>B2-B1,1-6</t>
  </si>
  <si>
    <t>B2,B1,1,2,3,4,5,6,7</t>
  </si>
  <si>
    <t>B2,B1,1-7</t>
  </si>
  <si>
    <t>B2-B1,1-7</t>
  </si>
  <si>
    <t>B2,B1,1-8</t>
  </si>
  <si>
    <t>B2-B1,1-8</t>
  </si>
  <si>
    <t>B2,B1,1-9</t>
  </si>
  <si>
    <t>B2,B1,1-10</t>
  </si>
  <si>
    <t>B2,B1,1-11</t>
  </si>
  <si>
    <t>B2,B1,1-12</t>
  </si>
  <si>
    <t>B2,B1,1-13</t>
  </si>
  <si>
    <t>B2-B1,1-13</t>
  </si>
  <si>
    <t>B2,B1,1-14</t>
  </si>
  <si>
    <t>B2,B1,1-15</t>
  </si>
  <si>
    <t>B2,B1,1-16</t>
  </si>
  <si>
    <t>B2,B1,1-17</t>
  </si>
  <si>
    <t>B2,B1,1-18</t>
  </si>
  <si>
    <t>B2,B1,1-19</t>
  </si>
  <si>
    <t>B2,B1,1-20</t>
  </si>
  <si>
    <t>B2,B1,1-21</t>
  </si>
  <si>
    <t>B2,B1,1-22</t>
  </si>
  <si>
    <t>B2-B1,1-15,PH</t>
  </si>
  <si>
    <t>PH</t>
  </si>
  <si>
    <t>B2,B1,1-14,R</t>
  </si>
  <si>
    <t>B2,B1,1-13,R</t>
  </si>
  <si>
    <t>B2,B1,1-12,R</t>
  </si>
  <si>
    <t>B2,B1,1-11,R</t>
  </si>
  <si>
    <t>B2,B1,1-10,R</t>
  </si>
  <si>
    <t>B2,B1,1-9,R</t>
  </si>
  <si>
    <t>B2,B1,1-8,R</t>
  </si>
  <si>
    <t>B2-B1,1-8,R</t>
  </si>
  <si>
    <t>B2,B1,1-7,R</t>
  </si>
  <si>
    <t>B2,B1,1-6,R</t>
  </si>
  <si>
    <t>B2,B1,1-5,R</t>
  </si>
  <si>
    <t>B2,B1,1-4,R</t>
  </si>
  <si>
    <t>B2-B1,1-3,5-6,PH</t>
  </si>
  <si>
    <t>B2,B1,1-3,R</t>
  </si>
  <si>
    <t>B2-B1,1-3,R</t>
  </si>
  <si>
    <t>B2,B1,1-2,4</t>
  </si>
  <si>
    <t>B2-B1,1-2,PHU</t>
  </si>
  <si>
    <t>PHU</t>
  </si>
  <si>
    <t>B2,B1,1-2,R</t>
  </si>
  <si>
    <t>B2-B1,1,3-4</t>
  </si>
  <si>
    <t>B2,B1,1U</t>
  </si>
  <si>
    <t>B2,B1U</t>
  </si>
  <si>
    <t>B2,LB,B1U,1U,2U,3-7</t>
  </si>
  <si>
    <t>2U</t>
  </si>
  <si>
    <t>B2,B1U,1</t>
  </si>
  <si>
    <t>B2,1</t>
  </si>
  <si>
    <t>B2,1-3</t>
  </si>
  <si>
    <t>B2,1-14</t>
  </si>
  <si>
    <t>B2U-B1U,1</t>
  </si>
  <si>
    <t>B2U-B1U,1-2</t>
  </si>
  <si>
    <t>B2U-B1U,1-2,2U</t>
  </si>
  <si>
    <t>B2U,LB</t>
  </si>
  <si>
    <t>B2U,1</t>
  </si>
  <si>
    <t>B1,B1U,MB1U,1U</t>
  </si>
  <si>
    <t>MB1U</t>
  </si>
  <si>
    <t>B1,B1U,1,1U,2</t>
  </si>
  <si>
    <t>B1,B1U,1,1U,2,2U</t>
  </si>
  <si>
    <t>B1,B1U,1,1U,2,2U,3,3</t>
  </si>
  <si>
    <t>B1,B1U,1,1U,2,3</t>
  </si>
  <si>
    <t>B1,B1U,1,1U,2-5</t>
  </si>
  <si>
    <t>B1,B1U,1,1U,2-6</t>
  </si>
  <si>
    <t>B1,B1U,1-2</t>
  </si>
  <si>
    <t>B1,B1U,1,2,2U</t>
  </si>
  <si>
    <t>B1,B1U,1-3</t>
  </si>
  <si>
    <t>B1,B1U,1-4</t>
  </si>
  <si>
    <t>B1,B1U,1-7,7U</t>
  </si>
  <si>
    <t>7U</t>
  </si>
  <si>
    <t>B1,MBU,1</t>
  </si>
  <si>
    <t>MBU</t>
  </si>
  <si>
    <t>B1,MB,1</t>
  </si>
  <si>
    <t>MB</t>
  </si>
  <si>
    <t>B1,L,1</t>
  </si>
  <si>
    <t>L</t>
  </si>
  <si>
    <t>B1,L,1-3,5-7,PH</t>
  </si>
  <si>
    <t>B1,1U,L,2U,3U,4U,5U,</t>
  </si>
  <si>
    <t>3U</t>
  </si>
  <si>
    <t>4U</t>
  </si>
  <si>
    <t>B1,L,2</t>
  </si>
  <si>
    <t>B1,L,2,3</t>
  </si>
  <si>
    <t>B1,LU</t>
  </si>
  <si>
    <t>LU</t>
  </si>
  <si>
    <t>B1,M1U,1-3</t>
  </si>
  <si>
    <t>M1U</t>
  </si>
  <si>
    <t>B1,M1U,1-4</t>
  </si>
  <si>
    <t>B1,1N,2N,3</t>
  </si>
  <si>
    <t>1N</t>
  </si>
  <si>
    <t>B1,1N,2N,3U</t>
  </si>
  <si>
    <t>B1,1N,2-4</t>
  </si>
  <si>
    <t>B1,1</t>
  </si>
  <si>
    <t>B1,1,1U,2</t>
  </si>
  <si>
    <t>B1,1,1U,2,2U</t>
  </si>
  <si>
    <t>B1,1,1U,2,2U,3</t>
  </si>
  <si>
    <t>B1,1,1U,2,2U,3,3U,4,</t>
  </si>
  <si>
    <t>B1,1,1U,2-3</t>
  </si>
  <si>
    <t>B1,1,1U,2-4</t>
  </si>
  <si>
    <t>B1,1,1U,2-8</t>
  </si>
  <si>
    <t>B1,1,1U-3U,4-12</t>
  </si>
  <si>
    <t>B1,1,1U-4U</t>
  </si>
  <si>
    <t>B1,1,1U,2U,3U,4U,5U,</t>
  </si>
  <si>
    <t>B1,1,1U-10U</t>
  </si>
  <si>
    <t>6U</t>
  </si>
  <si>
    <t>8U</t>
  </si>
  <si>
    <t>9U</t>
  </si>
  <si>
    <t>10U</t>
  </si>
  <si>
    <t>B1,1,M2,2-10,R</t>
  </si>
  <si>
    <t>M2</t>
  </si>
  <si>
    <t>B1,1,M2U,2</t>
  </si>
  <si>
    <t>M2U</t>
  </si>
  <si>
    <t>B1,1,M2U,2U</t>
  </si>
  <si>
    <t>B1,1,M2U,2U-4U</t>
  </si>
  <si>
    <t>B1,1,2N-10N,11-13</t>
  </si>
  <si>
    <t>7N</t>
  </si>
  <si>
    <t>8N</t>
  </si>
  <si>
    <t>9N</t>
  </si>
  <si>
    <t>10N</t>
  </si>
  <si>
    <t>B1,1,2N-9N,10</t>
  </si>
  <si>
    <t>B1,1,2N-8N,9-13</t>
  </si>
  <si>
    <t>B1,1,2N-4N,5-10</t>
  </si>
  <si>
    <t>B1,1,2N,3N,4</t>
  </si>
  <si>
    <t>B1,1,2N,3N,4,5</t>
  </si>
  <si>
    <t>B1,1,2N,3N,4-9</t>
  </si>
  <si>
    <t>B1,1,2N-3N,4-10</t>
  </si>
  <si>
    <t>B1,1,2N,3</t>
  </si>
  <si>
    <t>B1,1,2N,3,4</t>
  </si>
  <si>
    <t>B1,1,2N,3-5</t>
  </si>
  <si>
    <t>B1,1,2N,3-8</t>
  </si>
  <si>
    <t>B1,1,2N,3-13</t>
  </si>
  <si>
    <t>B1,1,2</t>
  </si>
  <si>
    <t>B1,1-2</t>
  </si>
  <si>
    <t>B1,1-2,2U,3</t>
  </si>
  <si>
    <t>B1,1,2,2U,3,3U,4,4U,</t>
  </si>
  <si>
    <t>B1,1-2,2U,3,3U,4,4U,</t>
  </si>
  <si>
    <t>B1,1,2,3N-6N,7</t>
  </si>
  <si>
    <t>B1,1,2,3N,4N,5-14</t>
  </si>
  <si>
    <t>B1,1-2,3N,4-5</t>
  </si>
  <si>
    <t>B1,1,2,3</t>
  </si>
  <si>
    <t>B1,1-3</t>
  </si>
  <si>
    <t>B1,1-4</t>
  </si>
  <si>
    <t>B1,1-5</t>
  </si>
  <si>
    <t>B1,1-6</t>
  </si>
  <si>
    <t>B1,1-7</t>
  </si>
  <si>
    <t>B1,1-8</t>
  </si>
  <si>
    <t>B1,1-8,8U</t>
  </si>
  <si>
    <t>B1,1-9</t>
  </si>
  <si>
    <t>B1,1-10</t>
  </si>
  <si>
    <t>B1,1-11</t>
  </si>
  <si>
    <t>B1,1-12</t>
  </si>
  <si>
    <t>B1,1-13</t>
  </si>
  <si>
    <t>B1,1-14</t>
  </si>
  <si>
    <t>B1,1-15</t>
  </si>
  <si>
    <t>B1,1-16</t>
  </si>
  <si>
    <t>B1,1-17</t>
  </si>
  <si>
    <t>B1,1-18</t>
  </si>
  <si>
    <t>B1,1-19</t>
  </si>
  <si>
    <t>B1,1-20</t>
  </si>
  <si>
    <t>B1,1-21</t>
  </si>
  <si>
    <t>B1,1-22</t>
  </si>
  <si>
    <t>B1,1-23</t>
  </si>
  <si>
    <t>■ガバナ振れ止め(CWT側ガバナ用)員数ＤＢ</t>
  </si>
  <si>
    <t>対象：UA-25T,WTSF付</t>
  </si>
  <si>
    <t>全高</t>
  </si>
  <si>
    <t>■フェッシャプレートの階高別の組合せDB</t>
  </si>
  <si>
    <t>比較用</t>
  </si>
  <si>
    <t>機種CD</t>
  </si>
  <si>
    <t>遮煙有無</t>
  </si>
  <si>
    <t>階高（mm）</t>
  </si>
  <si>
    <t>ﾌｪｯｼｬｰ寸法
【員数】</t>
  </si>
  <si>
    <t>中間ブラ
【員数】</t>
  </si>
  <si>
    <t>頂部テールコードサポートブラの取付範囲</t>
  </si>
  <si>
    <t>無</t>
  </si>
  <si>
    <t>無し</t>
  </si>
  <si>
    <t>後落ち</t>
  </si>
  <si>
    <t>延長ﾄｰｶﾞｰﾄﾞ【1】</t>
  </si>
  <si>
    <t>220【1】</t>
  </si>
  <si>
    <t>P-11～P-15</t>
  </si>
  <si>
    <t>320【1】</t>
  </si>
  <si>
    <t>420【1】</t>
  </si>
  <si>
    <t>520【1】</t>
  </si>
  <si>
    <t>620【1】</t>
  </si>
  <si>
    <t>720【1】</t>
  </si>
  <si>
    <t>820【1】</t>
  </si>
  <si>
    <t>920【1】</t>
  </si>
  <si>
    <t>1020【1】</t>
  </si>
  <si>
    <t>1120【1】</t>
  </si>
  <si>
    <t>420【1】+800【1】</t>
  </si>
  <si>
    <t>520【1】+800【1】</t>
  </si>
  <si>
    <t>620【1】+800【1】</t>
  </si>
  <si>
    <t>720【1】+800【1】</t>
  </si>
  <si>
    <t>820【1】+800【1】</t>
  </si>
  <si>
    <t>920【1】+800【1】</t>
  </si>
  <si>
    <t>1020【1】+800【1】</t>
  </si>
  <si>
    <t>1120【1】+800【1】</t>
  </si>
  <si>
    <t>420【1】+800【2】</t>
  </si>
  <si>
    <t>520【1】+800【2】</t>
  </si>
  <si>
    <t>620【1】+800【2】</t>
  </si>
  <si>
    <t>720【1】+800【2】</t>
  </si>
  <si>
    <t>820【1】+800【2】</t>
  </si>
  <si>
    <t>920【1】+800【2】</t>
  </si>
  <si>
    <t>1020【1】+800【2】</t>
  </si>
  <si>
    <t>1120【1】+800【2】</t>
  </si>
  <si>
    <t>420【1】+800【3】</t>
  </si>
  <si>
    <t>520【1】+800【3】</t>
  </si>
  <si>
    <t>620【1】+800【3】</t>
  </si>
  <si>
    <t>720【1】+800【3】</t>
  </si>
  <si>
    <t>820【1】+800【3】</t>
  </si>
  <si>
    <t>920【1】+800【3】</t>
  </si>
  <si>
    <t>1020【1】+800【3】</t>
  </si>
  <si>
    <t>1120【1】+800【3】</t>
  </si>
  <si>
    <t>420【1】+800【4】</t>
  </si>
  <si>
    <t>520【1】+800【4】</t>
  </si>
  <si>
    <t>620【1】+800【4】</t>
  </si>
  <si>
    <t>720【1】+800【4】</t>
  </si>
  <si>
    <t>820【1】+800【4】</t>
  </si>
  <si>
    <t>920【1】+800【4】</t>
  </si>
  <si>
    <t>1020【1】+800【4】</t>
  </si>
  <si>
    <t>1120【1】+800【4】</t>
  </si>
  <si>
    <t>420【1】+800【5】</t>
  </si>
  <si>
    <t>520【1】+800【5】</t>
  </si>
  <si>
    <t>620【1】+800【5】</t>
  </si>
  <si>
    <t>720【1】+800【5】</t>
  </si>
  <si>
    <t>820【1】+800【5】</t>
  </si>
  <si>
    <t>920【1】+800【5】</t>
  </si>
  <si>
    <t>1020【1】+800【5】</t>
  </si>
  <si>
    <t>1120【1】+800【5】</t>
  </si>
  <si>
    <t>420【1】+800【6】</t>
  </si>
  <si>
    <t>520【1】+800【6】</t>
  </si>
  <si>
    <t>620【1】+800【6】</t>
  </si>
  <si>
    <t>720【1】+800【6】</t>
  </si>
  <si>
    <t>UAE-25T</t>
  </si>
  <si>
    <t>　</t>
    <phoneticPr fontId="155"/>
  </si>
  <si>
    <t>データ区分</t>
  </si>
  <si>
    <t>確認区分</t>
  </si>
  <si>
    <t>QR収録</t>
  </si>
  <si>
    <t>原データ</t>
  </si>
  <si>
    <t>一部推定</t>
  </si>
  <si>
    <t>推定・要照合</t>
  </si>
  <si>
    <t>推定補完</t>
  </si>
  <si>
    <t>UA-25TR</t>
  </si>
  <si>
    <t>UA-25TB</t>
  </si>
  <si>
    <t>手動入力</t>
  </si>
  <si>
    <t>外部連携は未収録
入力表へ直接入力</t>
  </si>
  <si>
    <t>未収録</t>
  </si>
  <si>
    <t>補完根拠</t>
  </si>
  <si>
    <t>階床表記を順番に展開</t>
  </si>
  <si>
    <t>収録計算結果1～7と一致</t>
  </si>
  <si>
    <t>表記から展開・要照合</t>
  </si>
  <si>
    <t>1,R</t>
  </si>
  <si>
    <t>1-2</t>
  </si>
  <si>
    <t>1-2,R</t>
  </si>
  <si>
    <t>1-3</t>
  </si>
  <si>
    <t>1-3,R</t>
  </si>
  <si>
    <t>1-4</t>
  </si>
  <si>
    <t>1-4,R</t>
  </si>
  <si>
    <t>1-5</t>
  </si>
  <si>
    <t>1-5,R</t>
  </si>
  <si>
    <t>1-6</t>
  </si>
  <si>
    <t>1-6,R</t>
  </si>
  <si>
    <t>1-7,R</t>
  </si>
  <si>
    <t>1-8</t>
  </si>
  <si>
    <t>1-8,R</t>
  </si>
  <si>
    <t>1-9</t>
  </si>
  <si>
    <t>1-9,R</t>
  </si>
  <si>
    <t>1-10</t>
  </si>
  <si>
    <t>1-10,R</t>
  </si>
  <si>
    <t>1-11</t>
  </si>
  <si>
    <t>1-11,R</t>
  </si>
  <si>
    <t>1-12</t>
  </si>
  <si>
    <t>1-12,R</t>
  </si>
  <si>
    <t>1-13</t>
  </si>
  <si>
    <t>1-13,R</t>
  </si>
  <si>
    <t>1-14</t>
  </si>
  <si>
    <t>1-14,R</t>
  </si>
  <si>
    <t>1-15</t>
  </si>
  <si>
    <t>1-15,R</t>
  </si>
  <si>
    <t>1-16</t>
  </si>
  <si>
    <t>1-16,R</t>
  </si>
  <si>
    <t>1-17</t>
  </si>
  <si>
    <t>1-17,R</t>
  </si>
  <si>
    <t>1-18</t>
  </si>
  <si>
    <t>1-18,R</t>
  </si>
  <si>
    <t>1-19</t>
  </si>
  <si>
    <t>1-19,R</t>
  </si>
  <si>
    <t>1-20</t>
  </si>
  <si>
    <t>1-20,R</t>
  </si>
  <si>
    <t>1-21</t>
  </si>
  <si>
    <t>1-21,R</t>
  </si>
  <si>
    <t>1-22</t>
  </si>
  <si>
    <t>1-22,R</t>
  </si>
  <si>
    <t>1-23</t>
  </si>
  <si>
    <t>1-23,R</t>
  </si>
  <si>
    <t>1-24</t>
  </si>
  <si>
    <t>B1,1,R</t>
  </si>
  <si>
    <t>B1,1-2,R</t>
  </si>
  <si>
    <t>B1,1-3,R</t>
  </si>
  <si>
    <t>B1,1-4,R</t>
  </si>
  <si>
    <t>B1,1-5,R</t>
  </si>
  <si>
    <t>B1,1-6,R</t>
  </si>
  <si>
    <t>B1,1-7,R</t>
  </si>
  <si>
    <t>B1,1-8,R</t>
  </si>
  <si>
    <t>B1,1-9,R</t>
  </si>
  <si>
    <t>B1,1-10,R</t>
  </si>
  <si>
    <t>B1,1-11,R</t>
  </si>
  <si>
    <t>B1,1-12,R</t>
  </si>
  <si>
    <t>B1,1-13,R</t>
  </si>
  <si>
    <t>B1,1-14,R</t>
  </si>
  <si>
    <t>B1,1-15,R</t>
  </si>
  <si>
    <t>B1,1-16,R</t>
  </si>
  <si>
    <t>B1,1-17,R</t>
  </si>
  <si>
    <t>B1,1-18,R</t>
  </si>
  <si>
    <t>B1,1-19,R</t>
  </si>
  <si>
    <t>B1,1-20,R</t>
  </si>
  <si>
    <t>B1,1-21,R</t>
  </si>
  <si>
    <t>B1,1-22,R</t>
  </si>
  <si>
    <t>B2-B1,1,R</t>
  </si>
  <si>
    <t>B2,B1,1,R</t>
  </si>
  <si>
    <t>B2-B1,1-2,R</t>
  </si>
  <si>
    <t>B2-B1,1-4,R</t>
  </si>
  <si>
    <t>B2-B1,1-5</t>
  </si>
  <si>
    <t>B2-B1,1-5,R</t>
  </si>
  <si>
    <t>B2-B1,1-6,R</t>
  </si>
  <si>
    <t>B2-B1,1-7,R</t>
  </si>
  <si>
    <t>B2-B1,1-9</t>
  </si>
  <si>
    <t>B2-B1,1-9,R</t>
  </si>
  <si>
    <t>B2-B1,1-10</t>
  </si>
  <si>
    <t>B2-B1,1-10,R</t>
  </si>
  <si>
    <t>B2-B1,1-11</t>
  </si>
  <si>
    <t>B2-B1,1-11,R</t>
  </si>
  <si>
    <t>B2-B1,1-12</t>
  </si>
  <si>
    <t>B2-B1,1-12,R</t>
  </si>
  <si>
    <t>B2-B1,1-13,R</t>
  </si>
  <si>
    <t>B2-B1,1-14</t>
  </si>
  <si>
    <t>B2-B1,1-14,R</t>
  </si>
  <si>
    <t>B2-B1,1-15</t>
  </si>
  <si>
    <t>B2-B1,1-15,R</t>
  </si>
  <si>
    <t>B2,B1,1-15,R</t>
  </si>
  <si>
    <t>B2-B1,1-16</t>
  </si>
  <si>
    <t>B2-B1,1-16,R</t>
  </si>
  <si>
    <t>B2,B1,1-16,R</t>
  </si>
  <si>
    <t>B2-B1,1-17</t>
  </si>
  <si>
    <t>B2-B1,1-17,R</t>
  </si>
  <si>
    <t>B2,B1,1-17,R</t>
  </si>
  <si>
    <t>B2-B1,1-18</t>
  </si>
  <si>
    <t>B2-B1,1-18,R</t>
  </si>
  <si>
    <t>B2,B1,1-18,R</t>
  </si>
  <si>
    <t>B2-B1,1-19</t>
  </si>
  <si>
    <t>B2-B1,1-19,R</t>
  </si>
  <si>
    <t>B2,B1,1-19,R</t>
  </si>
  <si>
    <t>B2-B1,1-20</t>
  </si>
  <si>
    <t>B2-B1,1-20,R</t>
  </si>
  <si>
    <t>B2,B1,1-20,R</t>
  </si>
  <si>
    <t>B2-B1,1-21</t>
  </si>
  <si>
    <t>B2-B1,1-21,R</t>
  </si>
  <si>
    <t>B2,B1,1-21,R</t>
  </si>
  <si>
    <t>B2-B1,1-22</t>
  </si>
  <si>
    <t>B3-B1,1,R</t>
  </si>
  <si>
    <t>B3,B2,B1,1,R</t>
  </si>
  <si>
    <t>B3-B1,1-2,R</t>
  </si>
  <si>
    <t>B3,B2,B1,1-2</t>
  </si>
  <si>
    <t>B3,B2,B1,1-2,R</t>
  </si>
  <si>
    <t>B3,B2,B1,1-3</t>
  </si>
  <si>
    <t>B3,B2,B1,1-3,R</t>
  </si>
  <si>
    <t>B3-B1,1-4,R</t>
  </si>
  <si>
    <t>B3,B2,B1,1-4</t>
  </si>
  <si>
    <t>B3,B2,B1,1-4,R</t>
  </si>
  <si>
    <t>B3-B1,1-5,R</t>
  </si>
  <si>
    <t>B3,B2,B1,1-5</t>
  </si>
  <si>
    <t>B3,B2,B1,1-5,R</t>
  </si>
  <si>
    <t>B3-B1,1-6</t>
  </si>
  <si>
    <t>B3-B1,1-6,R</t>
  </si>
  <si>
    <t>B3,B2,B1,1-6,R</t>
  </si>
  <si>
    <t>B3-B1,1-7</t>
  </si>
  <si>
    <t>B3-B1,1-7,R</t>
  </si>
  <si>
    <t>B3,B2,B1,1-7</t>
  </si>
  <si>
    <t>B3,B2,B1,1-7,R</t>
  </si>
  <si>
    <t>B3-B1,1-8</t>
  </si>
  <si>
    <t>B3-B1,1-8,R</t>
  </si>
  <si>
    <t>B3,B2,B1,1-8</t>
  </si>
  <si>
    <t>B3,B2,B1,1-8,R</t>
  </si>
  <si>
    <t>B3-B1,1-9</t>
  </si>
  <si>
    <t>B3-B1,1-9,R</t>
  </si>
  <si>
    <t>B3,B2,B1,1-9</t>
  </si>
  <si>
    <t>B3,B2,B1,1-9,R</t>
  </si>
  <si>
    <t>B3-B1,1-10</t>
  </si>
  <si>
    <t>B3-B1,1-10,R</t>
  </si>
  <si>
    <t>B3,B2,B1,1-10</t>
  </si>
  <si>
    <t>B3,B2,B1,1-10,R</t>
  </si>
  <si>
    <t>B3-B1,1-11</t>
  </si>
  <si>
    <t>B3-B1,1-11,R</t>
  </si>
  <si>
    <t>B3,B2,B1,1-11</t>
  </si>
  <si>
    <t>B3,B2,B1,1-11,R</t>
  </si>
  <si>
    <t>B3-B1,1-12</t>
  </si>
  <si>
    <t>B3-B1,1-12,R</t>
  </si>
  <si>
    <t>B3,B2,B1,1-12</t>
  </si>
  <si>
    <t>B3,B2,B1,1-12,R</t>
  </si>
  <si>
    <t>B3-B1,1-13,R</t>
  </si>
  <si>
    <t>B3,B2,B1,1-13</t>
  </si>
  <si>
    <t>B3,B2,B1,1-13,R</t>
  </si>
  <si>
    <t>B3-B1,1-14</t>
  </si>
  <si>
    <t>B3-B1,1-14,R</t>
  </si>
  <si>
    <t>B3,B2,B1,1-14,R</t>
  </si>
  <si>
    <t>B3-B1,1-15</t>
  </si>
  <si>
    <t>B3-B1,1-15,R</t>
  </si>
  <si>
    <t>B3,B2,B1,1-15</t>
  </si>
  <si>
    <t>B3,B2,B1,1-15,R</t>
  </si>
  <si>
    <t>B3-B1,1-16</t>
  </si>
  <si>
    <t>B3-B1,1-16,R</t>
  </si>
  <si>
    <t>B3,B2,B1,1-16</t>
  </si>
  <si>
    <t>B3,B2,B1,1-16,R</t>
  </si>
  <si>
    <t>B3-B1,1-17</t>
  </si>
  <si>
    <t>B3-B1,1-17,R</t>
  </si>
  <si>
    <t>B3,B2,B1,1-17</t>
  </si>
  <si>
    <t>B3,B2,B1,1-17,R</t>
  </si>
  <si>
    <t>B3-B1,1-18</t>
  </si>
  <si>
    <t>B3-B1,1-18,R</t>
  </si>
  <si>
    <t>B3,B2,B1,1-18</t>
  </si>
  <si>
    <t>B3,B2,B1,1-18,R</t>
  </si>
  <si>
    <t>B3-B1,1-19</t>
  </si>
  <si>
    <t>B3-B1,1-19,R</t>
  </si>
  <si>
    <t>B3,B2,B1,1-19</t>
  </si>
  <si>
    <t>B3,B2,B1,1-19,R</t>
  </si>
  <si>
    <t>B3-B1,1-20</t>
  </si>
  <si>
    <t>B3-B1,1-20,R</t>
  </si>
  <si>
    <t>B3,B2,B1,1-20</t>
  </si>
  <si>
    <t>B3,B2,B1,1-20,R</t>
  </si>
  <si>
    <t>B3-B1,1-21</t>
  </si>
  <si>
    <t>B3,B2,B1,1-21</t>
  </si>
  <si>
    <t>B4-B1,1,R</t>
  </si>
  <si>
    <t>B4,B3,B2,B1,1,R</t>
  </si>
  <si>
    <t>B4-B1,1-2</t>
  </si>
  <si>
    <t>B4-B1,1-2,R</t>
  </si>
  <si>
    <t>B4,B3,B2,B1,1-2</t>
  </si>
  <si>
    <t>B4,B3,B2,B1,1-2,R</t>
  </si>
  <si>
    <t>B4-B1,1-3</t>
  </si>
  <si>
    <t>B4-B1,1-3,R</t>
  </si>
  <si>
    <t>B4,B3,B2,B1,1-3</t>
  </si>
  <si>
    <t>B4,B3,B2,B1,1-3,R</t>
  </si>
  <si>
    <t>B4-B1,1-4</t>
  </si>
  <si>
    <t>B4-B1,1-4,R</t>
  </si>
  <si>
    <t>B4,B3,B2,B1,1-4</t>
  </si>
  <si>
    <t>B4,B3,B2,B1,1-4,R</t>
  </si>
  <si>
    <t>B4-B1,1-5</t>
  </si>
  <si>
    <t>B4-B1,1-5,R</t>
  </si>
  <si>
    <t>B4,B3,B2,B1,1-5</t>
  </si>
  <si>
    <t>B4,B3,B2,B1,1-5,R</t>
  </si>
  <si>
    <t>B4-B1,1-6</t>
  </si>
  <si>
    <t>B4-B1,1-6,R</t>
  </si>
  <si>
    <t>B4,B3,B2,B1,1-6</t>
  </si>
  <si>
    <t>B4,B3,B2,B1,1-6,R</t>
  </si>
  <si>
    <t>B4-B1,1-7</t>
  </si>
  <si>
    <t>B4-B1,1-7,R</t>
  </si>
  <si>
    <t>B4,B3,B2,B1,1-7</t>
  </si>
  <si>
    <t>B4,B3,B2,B1,1-7,R</t>
  </si>
  <si>
    <t>B4-B1,1-8</t>
  </si>
  <si>
    <t>B4-B1,1-8,R</t>
  </si>
  <si>
    <t>B4,B3,B2,B1,1-8</t>
  </si>
  <si>
    <t>B4,B3,B2,B1,1-8,R</t>
  </si>
  <si>
    <t>B4-B1,1-9</t>
  </si>
  <si>
    <t>B4-B1,1-9,R</t>
  </si>
  <si>
    <t>B4,B3,B2,B1,1-9</t>
  </si>
  <si>
    <t>B4,B3,B2,B1,1-9,R</t>
  </si>
  <si>
    <t>B4-B1,1-10</t>
  </si>
  <si>
    <t>B4-B1,1-10,R</t>
  </si>
  <si>
    <t>B4,B3,B2,B1,1-10</t>
  </si>
  <si>
    <t>B4,B3,B2,B1,1-10,R</t>
  </si>
  <si>
    <t>B4-B1,1-11</t>
  </si>
  <si>
    <t>B4-B1,1-11,R</t>
  </si>
  <si>
    <t>B4,B3,B2,B1,1-11</t>
  </si>
  <si>
    <t>B4,B3,B2,B1,1-11,R</t>
  </si>
  <si>
    <t>B4-B1,1-12</t>
  </si>
  <si>
    <t>B4-B1,1-12,R</t>
  </si>
  <si>
    <t>B4,B3,B2,B1,1-12</t>
  </si>
  <si>
    <t>B4,B3,B2,B1,1-12,R</t>
  </si>
  <si>
    <t>B4-B1,1-13</t>
  </si>
  <si>
    <t>B4-B1,1-13,R</t>
  </si>
  <si>
    <t>B4,B3,B2,B1,1-13</t>
  </si>
  <si>
    <t>B4,B3,B2,B1,1-13,R</t>
  </si>
  <si>
    <t>B4-B1,1-14</t>
  </si>
  <si>
    <t>B4-B1,1-14,R</t>
  </si>
  <si>
    <t>B4,B3,B2,B1,1-14</t>
  </si>
  <si>
    <t>B4,B3,B2,B1,1-14,R</t>
  </si>
  <si>
    <t>B4-B1,1-15</t>
  </si>
  <si>
    <t>B4-B1,1-15,R</t>
  </si>
  <si>
    <t>B4,B3,B2,B1,1-15</t>
  </si>
  <si>
    <t>B4,B3,B2,B1,1-15,R</t>
  </si>
  <si>
    <t>B4-B1,1-16</t>
  </si>
  <si>
    <t>B4-B1,1-16,R</t>
  </si>
  <si>
    <t>B4,B3,B2,B1,1-16</t>
  </si>
  <si>
    <t>B4,B3,B2,B1,1-16,R</t>
  </si>
  <si>
    <t>B4-B1,1-17</t>
  </si>
  <si>
    <t>B4-B1,1-17,R</t>
  </si>
  <si>
    <t>B4,B3,B2,B1,1-17</t>
  </si>
  <si>
    <t>B4,B3,B2,B1,1-17,R</t>
  </si>
  <si>
    <t>B4-B1,1-18</t>
  </si>
  <si>
    <t>B4-B1,1-18,R</t>
  </si>
  <si>
    <t>B4,B3,B2,B1,1-18</t>
  </si>
  <si>
    <t>B4,B3,B2,B1,1-18,R</t>
  </si>
  <si>
    <t>B4-B1,1-19</t>
  </si>
  <si>
    <t>B4-B1,1-19,R</t>
  </si>
  <si>
    <t>B4,B3,B2,B1,1-19</t>
  </si>
  <si>
    <t>B4,B3,B2,B1,1-19,R</t>
  </si>
  <si>
    <t>B4-B1,1-20</t>
  </si>
  <si>
    <t>B4,B3,B2,B1,1-20</t>
  </si>
  <si>
    <t>B5-B1,1,R</t>
  </si>
  <si>
    <t>B5,B4,B3,B2,B1,1</t>
  </si>
  <si>
    <t>B5,B4,B3,B2,B1,1,R</t>
  </si>
  <si>
    <t>B5-B1,1-2</t>
  </si>
  <si>
    <t>B5-B1,1-2,R</t>
  </si>
  <si>
    <t>B5,B4,B3,B2,B1,1-2</t>
  </si>
  <si>
    <t>B5,B4,B3,B2,B1,1-2,R</t>
  </si>
  <si>
    <t>B5-B1,1-3</t>
  </si>
  <si>
    <t>B5-B1,1-3,R</t>
  </si>
  <si>
    <t>B5,B4,B3,B2,B1,1-3</t>
  </si>
  <si>
    <t>B5,B4,B3,B2,B1,1-3,R</t>
  </si>
  <si>
    <t>B5-B1,1-4</t>
  </si>
  <si>
    <t>B5-B1,1-4,R</t>
  </si>
  <si>
    <t>B5,B4,B3,B2,B1,1-4</t>
  </si>
  <si>
    <t>B5,B4,B3,B2,B1,1-4,R</t>
  </si>
  <si>
    <t>B5-B1,1-5</t>
  </si>
  <si>
    <t>B5-B1,1-5,R</t>
  </si>
  <si>
    <t>B5,B4,B3,B2,B1,1-5</t>
  </si>
  <si>
    <t>B5,B4,B3,B2,B1,1-5,R</t>
  </si>
  <si>
    <t>B5-B1,1-6</t>
  </si>
  <si>
    <t>B5-B1,1-6,R</t>
  </si>
  <si>
    <t>B5,B4,B3,B2,B1,1-6</t>
  </si>
  <si>
    <t>B5,B4,B3,B2,B1,1-6,R</t>
  </si>
  <si>
    <t>B5-B1,1-7</t>
  </si>
  <si>
    <t>B5-B1,1-7,R</t>
  </si>
  <si>
    <t>B5,B4,B3,B2,B1,1-7</t>
  </si>
  <si>
    <t>B5,B4,B3,B2,B1,1-7,R</t>
  </si>
  <si>
    <t>B5-B1,1-8</t>
  </si>
  <si>
    <t>B5-B1,1-8,R</t>
  </si>
  <si>
    <t>B5,B4,B3,B2,B1,1-8</t>
  </si>
  <si>
    <t>B5,B4,B3,B2,B1,1-8,R</t>
  </si>
  <si>
    <t>B5-B1,1-9</t>
  </si>
  <si>
    <t>B5-B1,1-9,R</t>
  </si>
  <si>
    <t>B5,B4,B3,B2,B1,1-9</t>
  </si>
  <si>
    <t>B5,B4,B3,B2,B1,1-9,R</t>
  </si>
  <si>
    <t>B5-B1,1-10</t>
  </si>
  <si>
    <t>B5-B1,1-10,R</t>
  </si>
  <si>
    <t>B5,B4,B3,B2,B1,1-10</t>
  </si>
  <si>
    <t>B5,B4,B3,B2,B1,1-10,R</t>
  </si>
  <si>
    <t>B5-B1,1-11</t>
  </si>
  <si>
    <t>B5-B1,1-11,R</t>
  </si>
  <si>
    <t>B5,B4,B3,B2,B1,1-11</t>
  </si>
  <si>
    <t>B5,B4,B3,B2,B1,1-11,R</t>
  </si>
  <si>
    <t>B5-B1,1-12</t>
  </si>
  <si>
    <t>B5-B1,1-12,R</t>
  </si>
  <si>
    <t>B5,B4,B3,B2,B1,1-12</t>
  </si>
  <si>
    <t>B5,B4,B3,B2,B1,1-12,R</t>
  </si>
  <si>
    <t>B5-B1,1-13</t>
  </si>
  <si>
    <t>B5-B1,1-13,R</t>
  </si>
  <si>
    <t>B5,B4,B3,B2,B1,1-13</t>
  </si>
  <si>
    <t>B5,B4,B3,B2,B1,1-13,R</t>
  </si>
  <si>
    <t>B5-B1,1-14</t>
  </si>
  <si>
    <t>B5-B1,1-14,R</t>
  </si>
  <si>
    <t>B5,B4,B3,B2,B1,1-14</t>
  </si>
  <si>
    <t>B5,B4,B3,B2,B1,1-14,R</t>
  </si>
  <si>
    <t>B5-B1,1-15</t>
  </si>
  <si>
    <t>B5-B1,1-15,R</t>
  </si>
  <si>
    <t>B5,B4,B3,B2,B1,1-15</t>
  </si>
  <si>
    <t>B5,B4,B3,B2,B1,1-15,R</t>
  </si>
  <si>
    <t>B5-B1,1-16</t>
  </si>
  <si>
    <t>B5-B1,1-16,R</t>
  </si>
  <si>
    <t>B5,B4,B3,B2,B1,1-16</t>
  </si>
  <si>
    <t>B5,B4,B3,B2,B1,1-16,R</t>
  </si>
  <si>
    <t>B5-B1,1-17</t>
  </si>
  <si>
    <t>B5-B1,1-17,R</t>
  </si>
  <si>
    <t>B5,B4,B3,B2,B1,1-17</t>
  </si>
  <si>
    <t>B5,B4,B3,B2,B1,1-17,R</t>
  </si>
  <si>
    <t>B5-B1,1-18</t>
  </si>
  <si>
    <t>B5-B1,1-18,R</t>
  </si>
  <si>
    <t>B5,B4,B3,B2,B1,1-18</t>
  </si>
  <si>
    <t>B5,B4,B3,B2,B1,1-18,R</t>
  </si>
  <si>
    <t>B5-B1,1-19</t>
  </si>
  <si>
    <t>B5,B4,B3,B2,B1,1-19</t>
  </si>
  <si>
    <t>SA900-01 据付寸法自動計算ツール</t>
  </si>
  <si>
    <t>現在の入力と参照状態</t>
  </si>
  <si>
    <t>部品DBキー</t>
  </si>
  <si>
    <t>階床DB</t>
  </si>
  <si>
    <t>部品DB</t>
  </si>
  <si>
    <t>計算の確認</t>
  </si>
  <si>
    <t>操作</t>
  </si>
  <si>
    <t>補完・修正した内容</t>
  </si>
  <si>
    <t>画面・印刷</t>
  </si>
  <si>
    <t>マスター</t>
  </si>
  <si>
    <t>推定DBの内訳</t>
  </si>
  <si>
    <t>機種</t>
  </si>
  <si>
    <t>遮煙</t>
  </si>
  <si>
    <t>行</t>
  </si>
  <si>
    <t>転用元</t>
  </si>
  <si>
    <t>501–507</t>
  </si>
  <si>
    <t>グループ105</t>
  </si>
  <si>
    <t>508–563</t>
  </si>
  <si>
    <t>グループ106</t>
  </si>
  <si>
    <t>564–619</t>
  </si>
  <si>
    <t>グループ107</t>
  </si>
  <si>
    <t>620–675</t>
  </si>
  <si>
    <t>グループ108</t>
  </si>
  <si>
    <t>676–731</t>
  </si>
  <si>
    <t>グループ101</t>
  </si>
  <si>
    <t>732–787</t>
  </si>
  <si>
    <t>グループ102</t>
  </si>
  <si>
    <t>788–843</t>
  </si>
  <si>
    <t>グループ103</t>
  </si>
  <si>
    <t>844–899</t>
  </si>
  <si>
    <t>グループ104</t>
  </si>
  <si>
    <t>900–955</t>
  </si>
  <si>
    <t>956–1011</t>
  </si>
  <si>
    <t>1012–1067</t>
  </si>
  <si>
    <t>1068–1123</t>
  </si>
  <si>
    <t>残っている制限</t>
  </si>
  <si>
    <t>作成者: Codex (GPT-6) / マスター保存・推定補完・検証結果を別紙に記録</t>
  </si>
  <si>
    <r>
      <rPr>
        <u/>
        <sz val="11"/>
        <color theme="10"/>
        <rFont val="メイリオ"/>
        <family val="3"/>
        <charset val="128"/>
      </rPr>
      <t>ツール画面</t>
    </r>
  </si>
  <si>
    <r>
      <rPr>
        <u/>
        <sz val="11"/>
        <color theme="10"/>
        <rFont val="ＭＳ ゴシック"/>
        <family val="3"/>
        <charset val="128"/>
      </rPr>
      <t>入力表へ</t>
    </r>
  </si>
  <si>
    <r>
      <rPr>
        <u/>
        <sz val="11"/>
        <color theme="10"/>
        <rFont val="メイリオ"/>
        <family val="3"/>
        <charset val="128"/>
      </rPr>
      <t>目次へ戻る</t>
    </r>
  </si>
  <si>
    <t>UA-25TP</t>
    <phoneticPr fontId="155"/>
  </si>
  <si>
    <t>有</t>
    <phoneticPr fontId="155"/>
  </si>
  <si>
    <t>1-7</t>
    <phoneticPr fontId="155"/>
  </si>
  <si>
    <t>iReporter向け修正版 v2 / 2026-09-20</t>
  </si>
  <si>
    <t>推定部品は確認記録が揃うまで出力を停止します。基本入力・寸法・階高を変更すると、各出力の状態表示も更新します。</t>
  </si>
  <si>
    <t>候補・数式・判定の範囲を2～937行に統一。追記を自動参照。</t>
  </si>
  <si>
    <t>取付階</t>
  </si>
  <si>
    <t>空階を近似検索から除外。最上階の階名を正しく表示。</t>
  </si>
  <si>
    <t>入力確認</t>
  </si>
  <si>
    <t>整数・必須・範囲・階高合計・未使用欄の残値を検査。</t>
  </si>
  <si>
    <t>推定部品</t>
  </si>
  <si>
    <t>出力②_DB の V～Z列へ資料・版・確認者・日付・判定を記録。</t>
  </si>
  <si>
    <t>計算負荷</t>
  </si>
  <si>
    <t>固定DBキーを値にし、同じ階床の二重検索を解消。</t>
  </si>
  <si>
    <t>誤操作防止</t>
  </si>
  <si>
    <t>数式とDBを保護。保守時はパスワードなしで保護解除。</t>
  </si>
  <si>
    <t>基本入力を1ページに集約。DBは表示を保ち、帳票印刷対象外。</t>
  </si>
  <si>
    <t>復元マスターとv1を変更せず、別ファイルとして保存。</t>
  </si>
  <si>
    <t>ExcelOutputSetting・クラスター設定の欠落は今回の修正対象外です。iPhone上の計算・入力制御は、設定を復元した後に実機確認が必要です。</t>
  </si>
  <si>
    <t>階床DBは937行まで追記可能。部品DBの追加・並べ替え・寸法変更時は固定キーを再生成し、検証を再実行してください。推定内容そのもののメーカー照合は未実施です。</t>
  </si>
  <si>
    <t>復元時の入力データ（計算条件は「帳票基本入力」で設定）</t>
  </si>
  <si>
    <t>検索用階高累計</t>
  </si>
  <si>
    <t>検索用累計＋ピット</t>
  </si>
  <si>
    <t>階床キー一致件数</t>
  </si>
  <si>
    <t>有効な階床数</t>
  </si>
  <si>
    <t>機種グループ</t>
  </si>
  <si>
    <t>主要寸法の入力</t>
  </si>
  <si>
    <t>階高入力の不備件数</t>
  </si>
  <si>
    <t>未使用欄の残値件数</t>
  </si>
  <si>
    <t>行程と階高合計の一致</t>
  </si>
  <si>
    <t>全高・行程・ピットの整合</t>
  </si>
  <si>
    <t>有効な階高の合計 mm</t>
  </si>
  <si>
    <t>制御盤距離の入力</t>
  </si>
  <si>
    <t>仕様の入力</t>
  </si>
  <si>
    <t>入力条件の成立 1=成立</t>
  </si>
  <si>
    <t>入力状態</t>
  </si>
  <si>
    <t>部品DBの不備件数</t>
  </si>
  <si>
    <t>部品出力状態</t>
  </si>
  <si>
    <t>ガバナDB上限 mm</t>
  </si>
  <si>
    <t>サポートDB上限 mm</t>
  </si>
  <si>
    <t>階床順序・重複の不備</t>
  </si>
  <si>
    <t>部品DB出力可 1=可</t>
  </si>
  <si>
    <t>全体の状態</t>
  </si>
  <si>
    <t>ガバナ個数</t>
  </si>
  <si>
    <t>サポート個数</t>
  </si>
  <si>
    <t>取付位置の整合</t>
  </si>
  <si>
    <t>推定行の確認記録 1=成立</t>
  </si>
  <si>
    <t>空階の検索キーは1,000,000超。実高さの合計はY12。</t>
  </si>
  <si>
    <t>階床取得値</t>
  </si>
  <si>
    <t>階高不備</t>
  </si>
  <si>
    <t>未使用残値</t>
  </si>
  <si>
    <t>階床不備</t>
  </si>
  <si>
    <t>階床あり</t>
  </si>
  <si>
    <t>DB下限キー</t>
  </si>
  <si>
    <t>DB上限mm</t>
  </si>
  <si>
    <t>DB機種ID</t>
  </si>
  <si>
    <t>DB区分</t>
  </si>
  <si>
    <t>使用可</t>
  </si>
  <si>
    <t>部品不備</t>
  </si>
  <si>
    <t>機種ID</t>
  </si>
  <si>
    <t>確認対象</t>
  </si>
  <si>
    <t>根拠資料</t>
  </si>
  <si>
    <t>資料の版</t>
  </si>
  <si>
    <t>確認者</t>
  </si>
  <si>
    <t>確認日</t>
  </si>
  <si>
    <t>推定行の使用可</t>
  </si>
  <si>
    <t>UA-25TP800無0</t>
  </si>
  <si>
    <t>UA-25TP800無</t>
  </si>
  <si>
    <t>UA-25TP OP800 遮煙無</t>
  </si>
  <si>
    <t>UA-25TP800無2641</t>
  </si>
  <si>
    <t>UA-25TP800有</t>
  </si>
  <si>
    <t>UA-25TP OP800 遮煙有</t>
  </si>
  <si>
    <t>UA-25TP800無2716</t>
  </si>
  <si>
    <t>UA-25TP900無</t>
  </si>
  <si>
    <t>UA-25TP OP900 遮煙無</t>
  </si>
  <si>
    <t>UA-25TP800無2766</t>
  </si>
  <si>
    <t>UA-25TP900有</t>
  </si>
  <si>
    <t>UA-25TP OP900 遮煙有</t>
  </si>
  <si>
    <t>UA-25TP800無2866</t>
  </si>
  <si>
    <t>UA-25TP1000無</t>
  </si>
  <si>
    <t>UA-25TP OP1000 遮煙無</t>
  </si>
  <si>
    <t>UA-25TP800無2966</t>
  </si>
  <si>
    <t>UA-25TP1000有</t>
  </si>
  <si>
    <t>UA-25TP OP1000 遮煙有</t>
  </si>
  <si>
    <t>UA-25TP800無3066</t>
  </si>
  <si>
    <t>UA-25TP1100無</t>
  </si>
  <si>
    <t>UA-25TP OP1100 遮煙無</t>
  </si>
  <si>
    <t>UA-25TP800無3166</t>
  </si>
  <si>
    <t>UA-25TP1100有</t>
  </si>
  <si>
    <t>UA-25TP OP1100 遮煙有</t>
  </si>
  <si>
    <t>UA-25TP800無3266</t>
  </si>
  <si>
    <t>UAE-25T1000無</t>
  </si>
  <si>
    <t>UAE-25T OP1000 遮煙無</t>
  </si>
  <si>
    <t>未確認</t>
  </si>
  <si>
    <t>UA-25TP800無3366</t>
  </si>
  <si>
    <t>UAE-25T1000有</t>
  </si>
  <si>
    <t>UAE-25T OP1000 遮煙有</t>
  </si>
  <si>
    <t>UA-25TP800無3466</t>
  </si>
  <si>
    <t>UAE-25T1100無</t>
  </si>
  <si>
    <t>UAE-25T OP1100 遮煙無</t>
  </si>
  <si>
    <t>UA-25TP800無3566</t>
  </si>
  <si>
    <t>UAE-25T1100有</t>
  </si>
  <si>
    <t>UAE-25T OP1100 遮煙有</t>
  </si>
  <si>
    <t>UA-25TP800無3666</t>
  </si>
  <si>
    <t>UA-25TR800無</t>
  </si>
  <si>
    <t>UA-25TR OP800 遮煙無</t>
  </si>
  <si>
    <t>UA-25TP800無3766</t>
  </si>
  <si>
    <t>UA-25TR800有</t>
  </si>
  <si>
    <t>UA-25TR OP800 遮煙有</t>
  </si>
  <si>
    <t>UA-25TP800無3866</t>
  </si>
  <si>
    <t>UA-25TR900無</t>
  </si>
  <si>
    <t>UA-25TR OP900 遮煙無</t>
  </si>
  <si>
    <t>UA-25TP800無3966</t>
  </si>
  <si>
    <t>UA-25TR900有</t>
  </si>
  <si>
    <t>UA-25TR OP900 遮煙有</t>
  </si>
  <si>
    <t>UA-25TP800無4066</t>
  </si>
  <si>
    <t>UA-25TB1100無</t>
  </si>
  <si>
    <t>UA-25TB OP1100 遮煙無</t>
  </si>
  <si>
    <t>UA-25TP800無4166</t>
  </si>
  <si>
    <t>UA-25TB1100有</t>
  </si>
  <si>
    <t>UA-25TB OP1100 遮煙有</t>
  </si>
  <si>
    <t>UA-25TP800無4266</t>
  </si>
  <si>
    <t>UA-25TB1200無</t>
  </si>
  <si>
    <t>UA-25TB OP1200 遮煙無</t>
  </si>
  <si>
    <t>UA-25TP800無4366</t>
  </si>
  <si>
    <t>UA-25TB1200有</t>
  </si>
  <si>
    <t>UA-25TB OP1200 遮煙有</t>
  </si>
  <si>
    <t>UA-25TP800無4466</t>
  </si>
  <si>
    <t>UA-25TP800無4566</t>
  </si>
  <si>
    <t>UA-25TP800無4666</t>
  </si>
  <si>
    <t>UA-25TP800無4766</t>
  </si>
  <si>
    <t>UA-25TP800無4866</t>
  </si>
  <si>
    <t>UA-25TP800無4966</t>
  </si>
  <si>
    <t>UA-25TP800無5066</t>
  </si>
  <si>
    <t>UA-25TP800無5166</t>
  </si>
  <si>
    <t>UA-25TP800無5266</t>
  </si>
  <si>
    <t>UA-25TP800無5366</t>
  </si>
  <si>
    <t>UA-25TP800無5466</t>
  </si>
  <si>
    <t>UA-25TP800無5566</t>
  </si>
  <si>
    <t>UA-25TP800無5666</t>
  </si>
  <si>
    <t>UA-25TP800無5766</t>
  </si>
  <si>
    <t>UA-25TP800無5866</t>
  </si>
  <si>
    <t>UA-25TP800無5966</t>
  </si>
  <si>
    <t>UA-25TP800無6066</t>
  </si>
  <si>
    <t>UA-25TP800無6166</t>
  </si>
  <si>
    <t>UA-25TP800無6266</t>
  </si>
  <si>
    <t>UA-25TP800無6366</t>
  </si>
  <si>
    <t>UA-25TP800無6466</t>
  </si>
  <si>
    <t>UA-25TP800無6566</t>
  </si>
  <si>
    <t>UA-25TP800無6666</t>
  </si>
  <si>
    <t>UA-25TP800無6766</t>
  </si>
  <si>
    <t>UA-25TP800無6866</t>
  </si>
  <si>
    <t>UA-25TP800無6966</t>
  </si>
  <si>
    <t>UA-25TP800無7066</t>
  </si>
  <si>
    <t>UA-25TP800無7166</t>
  </si>
  <si>
    <t>UA-25TP800無7266</t>
  </si>
  <si>
    <t>UA-25TP800無7366</t>
  </si>
  <si>
    <t>UA-25TP800無7466</t>
  </si>
  <si>
    <t>UA-25TP800無7566</t>
  </si>
  <si>
    <t>UA-25TP800無7666</t>
  </si>
  <si>
    <t>UA-25TP800無7766</t>
  </si>
  <si>
    <t>UA-25TP800無7866</t>
  </si>
  <si>
    <t>UA-25TP800無7966</t>
  </si>
  <si>
    <t>UA-25TP800有0</t>
  </si>
  <si>
    <t>UA-25TP800有2641</t>
  </si>
  <si>
    <t>UA-25TP800有2716</t>
  </si>
  <si>
    <t>UA-25TP800有2766</t>
  </si>
  <si>
    <t>UA-25TP800有2866</t>
  </si>
  <si>
    <t>UA-25TP800有2966</t>
  </si>
  <si>
    <t>UA-25TP800有3066</t>
  </si>
  <si>
    <t>UA-25TP800有3166</t>
  </si>
  <si>
    <t>UA-25TP800有3266</t>
  </si>
  <si>
    <t>UA-25TP800有3366</t>
  </si>
  <si>
    <t>UA-25TP800有3466</t>
  </si>
  <si>
    <t>UA-25TP800有3566</t>
  </si>
  <si>
    <t>UA-25TP800有3666</t>
  </si>
  <si>
    <t>UA-25TP800有3766</t>
  </si>
  <si>
    <t>UA-25TP800有3866</t>
  </si>
  <si>
    <t>UA-25TP800有3966</t>
  </si>
  <si>
    <t>UA-25TP800有4066</t>
  </si>
  <si>
    <t>UA-25TP800有4166</t>
  </si>
  <si>
    <t>UA-25TP800有4266</t>
  </si>
  <si>
    <t>UA-25TP800有4366</t>
  </si>
  <si>
    <t>UA-25TP800有4466</t>
  </si>
  <si>
    <t>UA-25TP800有4566</t>
  </si>
  <si>
    <t>UA-25TP800有4666</t>
  </si>
  <si>
    <t>UA-25TP800有4766</t>
  </si>
  <si>
    <t>UA-25TP800有4866</t>
  </si>
  <si>
    <t>UA-25TP800有4966</t>
  </si>
  <si>
    <t>UA-25TP800有5066</t>
  </si>
  <si>
    <t>UA-25TP800有5166</t>
  </si>
  <si>
    <t>UA-25TP800有5266</t>
  </si>
  <si>
    <t>UA-25TP800有5366</t>
  </si>
  <si>
    <t>UA-25TP800有5466</t>
  </si>
  <si>
    <t>UA-25TP800有5566</t>
  </si>
  <si>
    <t>UA-25TP800有5666</t>
  </si>
  <si>
    <t>UA-25TP800有5766</t>
  </si>
  <si>
    <t>UA-25TP800有5866</t>
  </si>
  <si>
    <t>UA-25TP800有5966</t>
  </si>
  <si>
    <t>UA-25TP800有6066</t>
  </si>
  <si>
    <t>UA-25TP800有6166</t>
  </si>
  <si>
    <t>UA-25TP800有6266</t>
  </si>
  <si>
    <t>UA-25TP800有6366</t>
  </si>
  <si>
    <t>UA-25TP800有6466</t>
  </si>
  <si>
    <t>UA-25TP800有6566</t>
  </si>
  <si>
    <t>UA-25TP800有6666</t>
  </si>
  <si>
    <t>UA-25TP800有6766</t>
  </si>
  <si>
    <t>UA-25TP800有6866</t>
  </si>
  <si>
    <t>UA-25TP800有6966</t>
  </si>
  <si>
    <t>UA-25TP800有7066</t>
  </si>
  <si>
    <t>UA-25TP800有7166</t>
  </si>
  <si>
    <t>UA-25TP800有7266</t>
  </si>
  <si>
    <t>UA-25TP800有7366</t>
  </si>
  <si>
    <t>UA-25TP800有7466</t>
  </si>
  <si>
    <t>UA-25TP800有7566</t>
  </si>
  <si>
    <t>UA-25TP800有7666</t>
  </si>
  <si>
    <t>UA-25TP800有7766</t>
  </si>
  <si>
    <t>UA-25TP800有7866</t>
  </si>
  <si>
    <t>UA-25TP800有7966</t>
  </si>
  <si>
    <t>UA-25TP900無0</t>
  </si>
  <si>
    <t>UA-25TP900無2641</t>
  </si>
  <si>
    <t>UA-25TP900無2716</t>
  </si>
  <si>
    <t>UA-25TP900無2766</t>
  </si>
  <si>
    <t>UA-25TP900無2866</t>
  </si>
  <si>
    <t>UA-25TP900無2966</t>
  </si>
  <si>
    <t>UA-25TP900無3066</t>
  </si>
  <si>
    <t>UA-25TP900無3166</t>
  </si>
  <si>
    <t>UA-25TP900無3266</t>
  </si>
  <si>
    <t>UA-25TP900無3366</t>
  </si>
  <si>
    <t>UA-25TP900無3466</t>
  </si>
  <si>
    <t>UA-25TP900無3566</t>
  </si>
  <si>
    <t>UA-25TP900無3666</t>
  </si>
  <si>
    <t>UA-25TP900無3766</t>
  </si>
  <si>
    <t>UA-25TP900無3866</t>
  </si>
  <si>
    <t>UA-25TP900無3966</t>
  </si>
  <si>
    <t>UA-25TP900無4066</t>
  </si>
  <si>
    <t>UA-25TP900無4166</t>
  </si>
  <si>
    <t>UA-25TP900無4266</t>
  </si>
  <si>
    <t>UA-25TP900無4366</t>
  </si>
  <si>
    <t>UA-25TP900無4466</t>
  </si>
  <si>
    <t>UA-25TP900無4566</t>
  </si>
  <si>
    <t>UA-25TP900無4666</t>
  </si>
  <si>
    <t>UA-25TP900無4766</t>
  </si>
  <si>
    <t>UA-25TP900無4866</t>
  </si>
  <si>
    <t>UA-25TP900無4966</t>
  </si>
  <si>
    <t>UA-25TP900無5066</t>
  </si>
  <si>
    <t>UA-25TP900無5166</t>
  </si>
  <si>
    <t>UA-25TP900無5266</t>
  </si>
  <si>
    <t>UA-25TP900無5366</t>
  </si>
  <si>
    <t>UA-25TP900無5466</t>
  </si>
  <si>
    <t>UA-25TP900無5566</t>
  </si>
  <si>
    <t>UA-25TP900無5666</t>
  </si>
  <si>
    <t>UA-25TP900無5766</t>
  </si>
  <si>
    <t>UA-25TP900無5866</t>
  </si>
  <si>
    <t>UA-25TP900無5966</t>
  </si>
  <si>
    <t>UA-25TP900無6066</t>
  </si>
  <si>
    <t>UA-25TP900無6166</t>
  </si>
  <si>
    <t>UA-25TP900無6266</t>
  </si>
  <si>
    <t>UA-25TP900無6366</t>
  </si>
  <si>
    <t>UA-25TP900無6466</t>
  </si>
  <si>
    <t>UA-25TP900無6566</t>
  </si>
  <si>
    <t>UA-25TP900無6666</t>
  </si>
  <si>
    <t>UA-25TP900無6766</t>
  </si>
  <si>
    <t>UA-25TP900無6866</t>
  </si>
  <si>
    <t>UA-25TP900無6966</t>
  </si>
  <si>
    <t>UA-25TP900無7066</t>
  </si>
  <si>
    <t>UA-25TP900無7166</t>
  </si>
  <si>
    <t>UA-25TP900無7266</t>
  </si>
  <si>
    <t>UA-25TP900無7366</t>
  </si>
  <si>
    <t>UA-25TP900無7466</t>
  </si>
  <si>
    <t>UA-25TP900無7566</t>
  </si>
  <si>
    <t>UA-25TP900無7666</t>
  </si>
  <si>
    <t>UA-25TP900無7766</t>
  </si>
  <si>
    <t>UA-25TP900無7866</t>
  </si>
  <si>
    <t>UA-25TP900無7966</t>
  </si>
  <si>
    <t>UA-25TP900有0</t>
  </si>
  <si>
    <t>UA-25TP900有2641</t>
  </si>
  <si>
    <t>UA-25TP900有2716</t>
  </si>
  <si>
    <t>UA-25TP900有2766</t>
  </si>
  <si>
    <t>UA-25TP900有2866</t>
  </si>
  <si>
    <t>UA-25TP900有2966</t>
  </si>
  <si>
    <t>UA-25TP900有3066</t>
  </si>
  <si>
    <t>UA-25TP900有3166</t>
  </si>
  <si>
    <t>UA-25TP900有3266</t>
  </si>
  <si>
    <t>UA-25TP900有3366</t>
  </si>
  <si>
    <t>UA-25TP900有3466</t>
  </si>
  <si>
    <t>UA-25TP900有3566</t>
  </si>
  <si>
    <t>UA-25TP900有3666</t>
  </si>
  <si>
    <t>UA-25TP900有3766</t>
  </si>
  <si>
    <t>UA-25TP900有3866</t>
  </si>
  <si>
    <t>UA-25TP900有3966</t>
  </si>
  <si>
    <t>UA-25TP900有4066</t>
  </si>
  <si>
    <t>UA-25TP900有4166</t>
  </si>
  <si>
    <t>UA-25TP900有4266</t>
  </si>
  <si>
    <t>UA-25TP900有4366</t>
  </si>
  <si>
    <t>UA-25TP900有4466</t>
  </si>
  <si>
    <t>UA-25TP900有4566</t>
  </si>
  <si>
    <t>UA-25TP900有4666</t>
  </si>
  <si>
    <t>UA-25TP900有4766</t>
  </si>
  <si>
    <t>UA-25TP900有4866</t>
  </si>
  <si>
    <t>UA-25TP900有4966</t>
  </si>
  <si>
    <t>UA-25TP900有5066</t>
  </si>
  <si>
    <t>UA-25TP900有5166</t>
  </si>
  <si>
    <t>UA-25TP900有5266</t>
  </si>
  <si>
    <t>UA-25TP900有5366</t>
  </si>
  <si>
    <t>UA-25TP900有5466</t>
  </si>
  <si>
    <t>UA-25TP900有5566</t>
  </si>
  <si>
    <t>UA-25TP900有5666</t>
  </si>
  <si>
    <t>UA-25TP900有5766</t>
  </si>
  <si>
    <t>UA-25TP900有5866</t>
  </si>
  <si>
    <t>UA-25TP900有5966</t>
  </si>
  <si>
    <t>UA-25TP900有6066</t>
  </si>
  <si>
    <t>UA-25TP900有6166</t>
  </si>
  <si>
    <t>UA-25TP900有6266</t>
  </si>
  <si>
    <t>UA-25TP900有6366</t>
  </si>
  <si>
    <t>UA-25TP900有6466</t>
  </si>
  <si>
    <t>UA-25TP900有6566</t>
  </si>
  <si>
    <t>UA-25TP900有6666</t>
  </si>
  <si>
    <t>UA-25TP900有6766</t>
  </si>
  <si>
    <t>UA-25TP900有6866</t>
  </si>
  <si>
    <t>UA-25TP900有6966</t>
  </si>
  <si>
    <t>UA-25TP900有7066</t>
  </si>
  <si>
    <t>UA-25TP900有7166</t>
  </si>
  <si>
    <t>UA-25TP900有7266</t>
  </si>
  <si>
    <t>UA-25TP900有7366</t>
  </si>
  <si>
    <t>UA-25TP900有7466</t>
  </si>
  <si>
    <t>UA-25TP900有7566</t>
  </si>
  <si>
    <t>UA-25TP900有7666</t>
  </si>
  <si>
    <t>UA-25TP900有7766</t>
  </si>
  <si>
    <t>UA-25TP900有7866</t>
  </si>
  <si>
    <t>UA-25TP900有7966</t>
  </si>
  <si>
    <t>UA-25TP1000無0</t>
  </si>
  <si>
    <t>UA-25TP1000無2646</t>
  </si>
  <si>
    <t>UA-25TP1000無2716</t>
  </si>
  <si>
    <t>UA-25TP1000無2766</t>
  </si>
  <si>
    <t>UA-25TP1000無2866</t>
  </si>
  <si>
    <t>UA-25TP1000無2966</t>
  </si>
  <si>
    <t>UA-25TP1000無3066</t>
  </si>
  <si>
    <t>UA-25TP1000無3166</t>
  </si>
  <si>
    <t>UA-25TP1000無3266</t>
  </si>
  <si>
    <t>UA-25TP1000無3366</t>
  </si>
  <si>
    <t>UA-25TP1000無3466</t>
  </si>
  <si>
    <t>UA-25TP1000無3566</t>
  </si>
  <si>
    <t>UA-25TP1000無3666</t>
  </si>
  <si>
    <t>UA-25TP1000無3766</t>
  </si>
  <si>
    <t>UA-25TP1000無3866</t>
  </si>
  <si>
    <t>UA-25TP1000無3966</t>
  </si>
  <si>
    <t>UA-25TP1000無4066</t>
  </si>
  <si>
    <t>UA-25TP1000無4166</t>
  </si>
  <si>
    <t>UA-25TP1000無4266</t>
  </si>
  <si>
    <t>UA-25TP1000無4366</t>
  </si>
  <si>
    <t>UA-25TP1000無4466</t>
  </si>
  <si>
    <t>UA-25TP1000無4566</t>
  </si>
  <si>
    <t>UA-25TP1000無4666</t>
  </si>
  <si>
    <t>UA-25TP1000無4766</t>
  </si>
  <si>
    <t>UA-25TP1000無4866</t>
  </si>
  <si>
    <t>UA-25TP1000無4966</t>
  </si>
  <si>
    <t>UA-25TP1000無5066</t>
  </si>
  <si>
    <t>UA-25TP1000無5166</t>
  </si>
  <si>
    <t>UA-25TP1000無5266</t>
  </si>
  <si>
    <t>UA-25TP1000無5366</t>
  </si>
  <si>
    <t>UA-25TP1000無5466</t>
  </si>
  <si>
    <t>UA-25TP1000無5566</t>
  </si>
  <si>
    <t>UA-25TP1000無5666</t>
  </si>
  <si>
    <t>UA-25TP1000無5766</t>
  </si>
  <si>
    <t>UA-25TP1000無5866</t>
  </si>
  <si>
    <t>UA-25TP1000無5966</t>
  </si>
  <si>
    <t>UA-25TP1000無6066</t>
  </si>
  <si>
    <t>UA-25TP1000無6166</t>
  </si>
  <si>
    <t>UA-25TP1000無6266</t>
  </si>
  <si>
    <t>UA-25TP1000無6366</t>
  </si>
  <si>
    <t>UA-25TP1000無6466</t>
  </si>
  <si>
    <t>UA-25TP1000無6566</t>
  </si>
  <si>
    <t>UA-25TP1000無6666</t>
  </si>
  <si>
    <t>UA-25TP1000無6766</t>
  </si>
  <si>
    <t>UA-25TP1000無6866</t>
  </si>
  <si>
    <t>UA-25TP1000無6966</t>
  </si>
  <si>
    <t>UA-25TP1000無7066</t>
  </si>
  <si>
    <t>UA-25TP1000無7166</t>
  </si>
  <si>
    <t>UA-25TP1000無7266</t>
  </si>
  <si>
    <t>UA-25TP1000無7366</t>
  </si>
  <si>
    <t>UA-25TP1000無7466</t>
  </si>
  <si>
    <t>UA-25TP1000無7566</t>
  </si>
  <si>
    <t>UA-25TP1000無7666</t>
  </si>
  <si>
    <t>UA-25TP1000無7766</t>
  </si>
  <si>
    <t>UA-25TP1000無7866</t>
  </si>
  <si>
    <t>UA-25TP1000無7966</t>
  </si>
  <si>
    <t>UA-25TP1000有0</t>
  </si>
  <si>
    <t>UA-25TP1000有2631</t>
  </si>
  <si>
    <t>UA-25TP1000有2701</t>
  </si>
  <si>
    <t>UA-25TP1000有2751</t>
  </si>
  <si>
    <t>UA-25TP1000有2851</t>
  </si>
  <si>
    <t>UA-25TP1000有2951</t>
  </si>
  <si>
    <t>UA-25TP1000有3051</t>
  </si>
  <si>
    <t>UA-25TP1000有3151</t>
  </si>
  <si>
    <t>UA-25TP1000有3251</t>
  </si>
  <si>
    <t>UA-25TP1000有3351</t>
  </si>
  <si>
    <t>UA-25TP1000有3451</t>
  </si>
  <si>
    <t>UA-25TP1000有3551</t>
  </si>
  <si>
    <t>UA-25TP1000有3651</t>
  </si>
  <si>
    <t>UA-25TP1000有3751</t>
  </si>
  <si>
    <t>UA-25TP1000有3851</t>
  </si>
  <si>
    <t>UA-25TP1000有3951</t>
  </si>
  <si>
    <t>UA-25TP1000有4051</t>
  </si>
  <si>
    <t>UA-25TP1000有4151</t>
  </si>
  <si>
    <t>UA-25TP1000有4251</t>
  </si>
  <si>
    <t>UA-25TP1000有4351</t>
  </si>
  <si>
    <t>UA-25TP1000有4451</t>
  </si>
  <si>
    <t>UA-25TP1000有4551</t>
  </si>
  <si>
    <t>UA-25TP1000有4651</t>
  </si>
  <si>
    <t>UA-25TP1000有4751</t>
  </si>
  <si>
    <t>UA-25TP1000有4851</t>
  </si>
  <si>
    <t>UA-25TP1000有4951</t>
  </si>
  <si>
    <t>UA-25TP1000有5051</t>
  </si>
  <si>
    <t>UA-25TP1000有5151</t>
  </si>
  <si>
    <t>UA-25TP1000有5251</t>
  </si>
  <si>
    <t>UA-25TP1000有5351</t>
  </si>
  <si>
    <t>UA-25TP1000有5451</t>
  </si>
  <si>
    <t>UA-25TP1000有5551</t>
  </si>
  <si>
    <t>UA-25TP1000有5651</t>
  </si>
  <si>
    <t>UA-25TP1000有5751</t>
  </si>
  <si>
    <t>UA-25TP1000有5851</t>
  </si>
  <si>
    <t>UA-25TP1000有5951</t>
  </si>
  <si>
    <t>UA-25TP1000有6051</t>
  </si>
  <si>
    <t>UA-25TP1000有6151</t>
  </si>
  <si>
    <t>UA-25TP1000有6251</t>
  </si>
  <si>
    <t>UA-25TP1000有6351</t>
  </si>
  <si>
    <t>UA-25TP1000有6451</t>
  </si>
  <si>
    <t>UA-25TP1000有6551</t>
  </si>
  <si>
    <t>UA-25TP1000有6651</t>
  </si>
  <si>
    <t>UA-25TP1000有6751</t>
  </si>
  <si>
    <t>UA-25TP1000有6851</t>
  </si>
  <si>
    <t>UA-25TP1000有6951</t>
  </si>
  <si>
    <t>UA-25TP1000有7051</t>
  </si>
  <si>
    <t>UA-25TP1000有7151</t>
  </si>
  <si>
    <t>UA-25TP1000有7251</t>
  </si>
  <si>
    <t>UA-25TP1000有7351</t>
  </si>
  <si>
    <t>UA-25TP1000有7451</t>
  </si>
  <si>
    <t>UA-25TP1000有7551</t>
  </si>
  <si>
    <t>UA-25TP1000有7651</t>
  </si>
  <si>
    <t>UA-25TP1000有7751</t>
  </si>
  <si>
    <t>UA-25TP1000有7851</t>
  </si>
  <si>
    <t>UA-25TP1000有7951</t>
  </si>
  <si>
    <t>UA-25TP1100無0</t>
  </si>
  <si>
    <t>UA-25TP1100無2646</t>
  </si>
  <si>
    <t>UA-25TP1100無2716</t>
  </si>
  <si>
    <t>UA-25TP1100無2766</t>
  </si>
  <si>
    <t>UA-25TP1100無2866</t>
  </si>
  <si>
    <t>UA-25TP1100無2966</t>
  </si>
  <si>
    <t>UA-25TP1100無3066</t>
  </si>
  <si>
    <t>UA-25TP1100無3166</t>
  </si>
  <si>
    <t>UA-25TP1100無3266</t>
  </si>
  <si>
    <t>UA-25TP1100無3366</t>
  </si>
  <si>
    <t>UA-25TP1100無3466</t>
  </si>
  <si>
    <t>UA-25TP1100無3566</t>
  </si>
  <si>
    <t>UA-25TP1100無3666</t>
  </si>
  <si>
    <t>UA-25TP1100無3766</t>
  </si>
  <si>
    <t>UA-25TP1100無3866</t>
  </si>
  <si>
    <t>UA-25TP1100無3966</t>
  </si>
  <si>
    <t>UA-25TP1100無4066</t>
  </si>
  <si>
    <t>UA-25TP1100無4166</t>
  </si>
  <si>
    <t>UA-25TP1100無4266</t>
  </si>
  <si>
    <t>UA-25TP1100無4366</t>
  </si>
  <si>
    <t>UA-25TP1100無4466</t>
  </si>
  <si>
    <t>UA-25TP1100無4566</t>
  </si>
  <si>
    <t>UA-25TP1100無4666</t>
  </si>
  <si>
    <t>UA-25TP1100無4766</t>
  </si>
  <si>
    <t>UA-25TP1100無4866</t>
  </si>
  <si>
    <t>UA-25TP1100無4966</t>
  </si>
  <si>
    <t>UA-25TP1100無5066</t>
  </si>
  <si>
    <t>UA-25TP1100無5166</t>
  </si>
  <si>
    <t>UA-25TP1100無5266</t>
  </si>
  <si>
    <t>UA-25TP1100無5366</t>
  </si>
  <si>
    <t>UA-25TP1100無5466</t>
  </si>
  <si>
    <t>UA-25TP1100無5566</t>
  </si>
  <si>
    <t>UA-25TP1100無5666</t>
  </si>
  <si>
    <t>UA-25TP1100無5766</t>
  </si>
  <si>
    <t>UA-25TP1100無5866</t>
  </si>
  <si>
    <t>UA-25TP1100無5966</t>
  </si>
  <si>
    <t>UA-25TP1100無6066</t>
  </si>
  <si>
    <t>UA-25TP1100無6166</t>
  </si>
  <si>
    <t>UA-25TP1100無6266</t>
  </si>
  <si>
    <t>UA-25TP1100無6366</t>
  </si>
  <si>
    <t>UA-25TP1100無6466</t>
  </si>
  <si>
    <t>UA-25TP1100無6566</t>
  </si>
  <si>
    <t>UA-25TP1100無6666</t>
  </si>
  <si>
    <t>UA-25TP1100無6766</t>
  </si>
  <si>
    <t>UA-25TP1100無6866</t>
  </si>
  <si>
    <t>UA-25TP1100無6966</t>
  </si>
  <si>
    <t>UA-25TP1100無7066</t>
  </si>
  <si>
    <t>UA-25TP1100無7166</t>
  </si>
  <si>
    <t>UA-25TP1100無7266</t>
  </si>
  <si>
    <t>UA-25TP1100無7366</t>
  </si>
  <si>
    <t>UA-25TP1100無7466</t>
  </si>
  <si>
    <t>UA-25TP1100無7566</t>
  </si>
  <si>
    <t>UA-25TP1100無7666</t>
  </si>
  <si>
    <t>UA-25TP1100無7766</t>
  </si>
  <si>
    <t>UA-25TP1100無7866</t>
  </si>
  <si>
    <t>UA-25TP1100無7966</t>
  </si>
  <si>
    <t>UA-25TP1100有0</t>
  </si>
  <si>
    <t>UA-25TP1100有2631</t>
  </si>
  <si>
    <t>UA-25TP1100有2701</t>
  </si>
  <si>
    <t>UA-25TP1100有2751</t>
  </si>
  <si>
    <t>UA-25TP1100有2851</t>
  </si>
  <si>
    <t>UA-25TP1100有2951</t>
  </si>
  <si>
    <t>UA-25TP1100有3051</t>
  </si>
  <si>
    <t>UA-25TP1100有3151</t>
  </si>
  <si>
    <t>UA-25TP1100有3251</t>
  </si>
  <si>
    <t>UA-25TP1100有3351</t>
  </si>
  <si>
    <t>UA-25TP1100有3451</t>
  </si>
  <si>
    <t>UA-25TP1100有3551</t>
  </si>
  <si>
    <t>UA-25TP1100有3651</t>
  </si>
  <si>
    <t>UA-25TP1100有3751</t>
  </si>
  <si>
    <t>UA-25TP1100有3851</t>
  </si>
  <si>
    <t>UA-25TP1100有3951</t>
  </si>
  <si>
    <t>UA-25TP1100有4051</t>
  </si>
  <si>
    <t>UA-25TP1100有4151</t>
  </si>
  <si>
    <t>UA-25TP1100有4251</t>
  </si>
  <si>
    <t>UA-25TP1100有4351</t>
  </si>
  <si>
    <t>UA-25TP1100有4451</t>
  </si>
  <si>
    <t>UA-25TP1100有4551</t>
  </si>
  <si>
    <t>UA-25TP1100有4651</t>
  </si>
  <si>
    <t>UA-25TP1100有4751</t>
  </si>
  <si>
    <t>UA-25TP1100有4851</t>
  </si>
  <si>
    <t>UA-25TP1100有4951</t>
  </si>
  <si>
    <t>UA-25TP1100有5051</t>
  </si>
  <si>
    <t>UA-25TP1100有5151</t>
  </si>
  <si>
    <t>UA-25TP1100有5251</t>
  </si>
  <si>
    <t>UA-25TP1100有5351</t>
  </si>
  <si>
    <t>UA-25TP1100有5451</t>
  </si>
  <si>
    <t>UA-25TP1100有5551</t>
  </si>
  <si>
    <t>UA-25TP1100有5651</t>
  </si>
  <si>
    <t>UA-25TP1100有5751</t>
  </si>
  <si>
    <t>UA-25TP1100有5851</t>
  </si>
  <si>
    <t>UA-25TP1100有5951</t>
  </si>
  <si>
    <t>UA-25TP1100有6051</t>
  </si>
  <si>
    <t>UA-25TP1100有6151</t>
  </si>
  <si>
    <t>UA-25TP1100有6251</t>
  </si>
  <si>
    <t>UA-25TP1100有6351</t>
  </si>
  <si>
    <t>UA-25TP1100有6451</t>
  </si>
  <si>
    <t>UA-25TP1100有6551</t>
  </si>
  <si>
    <t>UA-25TP1100有6651</t>
  </si>
  <si>
    <t>UA-25TP1100有6751</t>
  </si>
  <si>
    <t>UA-25TP1100有6851</t>
  </si>
  <si>
    <t>UA-25TP1100有6951</t>
  </si>
  <si>
    <t>UA-25TP1100有7051</t>
  </si>
  <si>
    <t>UA-25TP1100有7151</t>
  </si>
  <si>
    <t>UA-25TP1100有7251</t>
  </si>
  <si>
    <t>UA-25TP1100有7351</t>
  </si>
  <si>
    <t>UA-25TP1100有7451</t>
  </si>
  <si>
    <t>UA-25TP1100有7551</t>
  </si>
  <si>
    <t>UA-25TP1100有7651</t>
  </si>
  <si>
    <t>UA-25TP1100有7751</t>
  </si>
  <si>
    <t>UA-25TP1100有7851</t>
  </si>
  <si>
    <t>UA-25TP1100有7951</t>
  </si>
  <si>
    <t>UAE-25T1000無0</t>
  </si>
  <si>
    <t>UAE-25T1000無2646</t>
  </si>
  <si>
    <t>UAE-25T1000無2716</t>
  </si>
  <si>
    <t>UAE-25T1000無2766</t>
  </si>
  <si>
    <t>UAE-25T1000無2866</t>
  </si>
  <si>
    <t>UAE-25T1000無2966</t>
  </si>
  <si>
    <t>UAE-25T1000無3066</t>
  </si>
  <si>
    <t>UAE-25T1000無3166</t>
  </si>
  <si>
    <t>UAE-25T1000無3266</t>
  </si>
  <si>
    <t>UAE-25T1000無3366</t>
  </si>
  <si>
    <t>UAE-25T1000無3466</t>
  </si>
  <si>
    <t>UAE-25T1000無3566</t>
  </si>
  <si>
    <t>UAE-25T1000無3666</t>
  </si>
  <si>
    <t>UAE-25T1000無3766</t>
  </si>
  <si>
    <t>UAE-25T1000無3866</t>
  </si>
  <si>
    <t>UAE-25T1000無3966</t>
  </si>
  <si>
    <t>UAE-25T1000無4066</t>
  </si>
  <si>
    <t>UAE-25T1000無4166</t>
  </si>
  <si>
    <t>UAE-25T1000無4266</t>
  </si>
  <si>
    <t>UAE-25T1000無4366</t>
  </si>
  <si>
    <t>UAE-25T1000無4466</t>
  </si>
  <si>
    <t>UAE-25T1000無4566</t>
  </si>
  <si>
    <t>UAE-25T1000無4666</t>
  </si>
  <si>
    <t>UAE-25T1000無4766</t>
  </si>
  <si>
    <t>UAE-25T1000無4866</t>
  </si>
  <si>
    <t>UAE-25T1000無4966</t>
  </si>
  <si>
    <t>UAE-25T1000無5066</t>
  </si>
  <si>
    <t>UAE-25T1000無5166</t>
  </si>
  <si>
    <t>UAE-25T1000無5266</t>
  </si>
  <si>
    <t>UAE-25T1000無5366</t>
  </si>
  <si>
    <t>UAE-25T1000無5466</t>
  </si>
  <si>
    <t>UAE-25T1000無5566</t>
  </si>
  <si>
    <t>UAE-25T1000無5666</t>
  </si>
  <si>
    <t>UAE-25T1000無5766</t>
  </si>
  <si>
    <t>UAE-25T1000無5866</t>
  </si>
  <si>
    <t>UAE-25T1000無5966</t>
  </si>
  <si>
    <t>UAE-25T1000無6066</t>
  </si>
  <si>
    <t>UAE-25T1000無6166</t>
  </si>
  <si>
    <t>UAE-25T1000無6266</t>
  </si>
  <si>
    <t>UAE-25T1000無6366</t>
  </si>
  <si>
    <t>UAE-25T1000無6466</t>
  </si>
  <si>
    <t>UAE-25T1000無6566</t>
  </si>
  <si>
    <t>UAE-25T1000無6666</t>
  </si>
  <si>
    <t>UAE-25T1000無6766</t>
  </si>
  <si>
    <t>UAE-25T1000無6866</t>
  </si>
  <si>
    <t>UAE-25T1000無6966</t>
  </si>
  <si>
    <t>UAE-25T1000無7066</t>
  </si>
  <si>
    <t>UAE-25T1000無7166</t>
  </si>
  <si>
    <t>UAE-25T1000無7266</t>
  </si>
  <si>
    <t>UAE-25T1000無7366</t>
  </si>
  <si>
    <t>UAE-25T1000無7466</t>
  </si>
  <si>
    <t>UAE-25T1000無7566</t>
  </si>
  <si>
    <t>UAE-25T1000無7666</t>
  </si>
  <si>
    <t>UAE-25T1000無7766</t>
  </si>
  <si>
    <t>UAE-25T1000無7866</t>
  </si>
  <si>
    <t>UAE-25T1000無7966</t>
  </si>
  <si>
    <t>UAE-25T1000有0</t>
  </si>
  <si>
    <t>UAE-25T1000有2631</t>
  </si>
  <si>
    <t>UAE-25T1000有2701</t>
  </si>
  <si>
    <t>UAE-25T1000有2751</t>
  </si>
  <si>
    <t>UAE-25T1000有2851</t>
  </si>
  <si>
    <t>UAE-25T1000有2951</t>
  </si>
  <si>
    <t>UAE-25T1000有3051</t>
  </si>
  <si>
    <t>UAE-25T1000有3151</t>
  </si>
  <si>
    <t>UAE-25T1000有3251</t>
  </si>
  <si>
    <t>UAE-25T1000有3351</t>
  </si>
  <si>
    <t>UAE-25T1000有3451</t>
  </si>
  <si>
    <t>UAE-25T1000有3551</t>
  </si>
  <si>
    <t>UAE-25T1000有3651</t>
  </si>
  <si>
    <t>UAE-25T1000有3751</t>
  </si>
  <si>
    <t>UAE-25T1000有3851</t>
  </si>
  <si>
    <t>UAE-25T1000有3951</t>
  </si>
  <si>
    <t>UAE-25T1000有4051</t>
  </si>
  <si>
    <t>UAE-25T1000有4151</t>
  </si>
  <si>
    <t>UAE-25T1000有4251</t>
  </si>
  <si>
    <t>UAE-25T1000有4351</t>
  </si>
  <si>
    <t>UAE-25T1000有4451</t>
  </si>
  <si>
    <t>UAE-25T1000有4551</t>
  </si>
  <si>
    <t>UAE-25T1000有4651</t>
  </si>
  <si>
    <t>UAE-25T1000有4751</t>
  </si>
  <si>
    <t>UAE-25T1000有4851</t>
  </si>
  <si>
    <t>UAE-25T1000有4951</t>
  </si>
  <si>
    <t>UAE-25T1000有5051</t>
  </si>
  <si>
    <t>UAE-25T1000有5151</t>
  </si>
  <si>
    <t>UAE-25T1000有5251</t>
  </si>
  <si>
    <t>UAE-25T1000有5351</t>
  </si>
  <si>
    <t>UAE-25T1000有5451</t>
  </si>
  <si>
    <t>UAE-25T1000有5551</t>
  </si>
  <si>
    <t>UAE-25T1000有5651</t>
  </si>
  <si>
    <t>UAE-25T1000有5751</t>
  </si>
  <si>
    <t>UAE-25T1000有5851</t>
  </si>
  <si>
    <t>UAE-25T1000有5951</t>
  </si>
  <si>
    <t>UAE-25T1000有6051</t>
  </si>
  <si>
    <t>UAE-25T1000有6151</t>
  </si>
  <si>
    <t>UAE-25T1000有6251</t>
  </si>
  <si>
    <t>UAE-25T1000有6351</t>
  </si>
  <si>
    <t>UAE-25T1000有6451</t>
  </si>
  <si>
    <t>UAE-25T1000有6551</t>
  </si>
  <si>
    <t>UAE-25T1000有6651</t>
  </si>
  <si>
    <t>UAE-25T1000有6751</t>
  </si>
  <si>
    <t>UAE-25T1000有6851</t>
  </si>
  <si>
    <t>UAE-25T1000有6951</t>
  </si>
  <si>
    <t>UAE-25T1000有7051</t>
  </si>
  <si>
    <t>UAE-25T1000有7151</t>
  </si>
  <si>
    <t>UAE-25T1000有7251</t>
  </si>
  <si>
    <t>UAE-25T1000有7351</t>
  </si>
  <si>
    <t>UAE-25T1000有7451</t>
  </si>
  <si>
    <t>UAE-25T1000有7551</t>
  </si>
  <si>
    <t>UAE-25T1000有7651</t>
  </si>
  <si>
    <t>UAE-25T1000有7751</t>
  </si>
  <si>
    <t>UAE-25T1000有7851</t>
  </si>
  <si>
    <t>UAE-25T1000有7951</t>
  </si>
  <si>
    <t>UAE-25T1100無0</t>
  </si>
  <si>
    <t>UAE-25T1100無2646</t>
  </si>
  <si>
    <t>UAE-25T1100無2716</t>
  </si>
  <si>
    <t>UAE-25T1100無2766</t>
  </si>
  <si>
    <t>UAE-25T1100無2866</t>
  </si>
  <si>
    <t>UAE-25T1100無2966</t>
  </si>
  <si>
    <t>UAE-25T1100無3066</t>
  </si>
  <si>
    <t>UAE-25T1100無3166</t>
  </si>
  <si>
    <t>UAE-25T1100無3266</t>
  </si>
  <si>
    <t>UAE-25T1100無3366</t>
  </si>
  <si>
    <t>UAE-25T1100無3466</t>
  </si>
  <si>
    <t>UAE-25T1100無3566</t>
  </si>
  <si>
    <t>UAE-25T1100無3666</t>
  </si>
  <si>
    <t>UAE-25T1100無3766</t>
  </si>
  <si>
    <t>UAE-25T1100無3866</t>
  </si>
  <si>
    <t>UAE-25T1100無3966</t>
  </si>
  <si>
    <t>UAE-25T1100無4066</t>
  </si>
  <si>
    <t>UAE-25T1100無4166</t>
  </si>
  <si>
    <t>UAE-25T1100無4266</t>
  </si>
  <si>
    <t>UAE-25T1100無4366</t>
  </si>
  <si>
    <t>UAE-25T1100無4466</t>
  </si>
  <si>
    <t>UAE-25T1100無4566</t>
  </si>
  <si>
    <t>UAE-25T1100無4666</t>
  </si>
  <si>
    <t>UAE-25T1100無4766</t>
  </si>
  <si>
    <t>UAE-25T1100無4866</t>
  </si>
  <si>
    <t>UAE-25T1100無4966</t>
  </si>
  <si>
    <t>UAE-25T1100無5066</t>
  </si>
  <si>
    <t>UAE-25T1100無5166</t>
  </si>
  <si>
    <t>UAE-25T1100無5266</t>
  </si>
  <si>
    <t>UAE-25T1100無5366</t>
  </si>
  <si>
    <t>UAE-25T1100無5466</t>
  </si>
  <si>
    <t>UAE-25T1100無5566</t>
  </si>
  <si>
    <t>UAE-25T1100無5666</t>
  </si>
  <si>
    <t>UAE-25T1100無5766</t>
  </si>
  <si>
    <t>UAE-25T1100無5866</t>
  </si>
  <si>
    <t>UAE-25T1100無5966</t>
  </si>
  <si>
    <t>UAE-25T1100無6066</t>
  </si>
  <si>
    <t>UAE-25T1100無6166</t>
  </si>
  <si>
    <t>UAE-25T1100無6266</t>
  </si>
  <si>
    <t>UAE-25T1100無6366</t>
  </si>
  <si>
    <t>UAE-25T1100無6466</t>
  </si>
  <si>
    <t>UAE-25T1100無6566</t>
  </si>
  <si>
    <t>UAE-25T1100無6666</t>
  </si>
  <si>
    <t>UAE-25T1100無6766</t>
  </si>
  <si>
    <t>UAE-25T1100無6866</t>
  </si>
  <si>
    <t>UAE-25T1100無6966</t>
  </si>
  <si>
    <t>UAE-25T1100無7066</t>
  </si>
  <si>
    <t>UAE-25T1100無7166</t>
  </si>
  <si>
    <t>UAE-25T1100無7266</t>
  </si>
  <si>
    <t>UAE-25T1100無7366</t>
  </si>
  <si>
    <t>UAE-25T1100無7466</t>
  </si>
  <si>
    <t>UAE-25T1100無7566</t>
  </si>
  <si>
    <t>UAE-25T1100無7666</t>
  </si>
  <si>
    <t>UAE-25T1100無7766</t>
  </si>
  <si>
    <t>UAE-25T1100無7866</t>
  </si>
  <si>
    <t>UAE-25T1100無7966</t>
  </si>
  <si>
    <t>UAE-25T1100有0</t>
  </si>
  <si>
    <t>UAE-25T1100有2631</t>
  </si>
  <si>
    <t>UAE-25T1100有2701</t>
  </si>
  <si>
    <t>UAE-25T1100有2751</t>
  </si>
  <si>
    <t>UAE-25T1100有2851</t>
  </si>
  <si>
    <t>UAE-25T1100有2951</t>
  </si>
  <si>
    <t>UAE-25T1100有3051</t>
  </si>
  <si>
    <t>UAE-25T1100有3151</t>
  </si>
  <si>
    <t>UAE-25T1100有3251</t>
  </si>
  <si>
    <t>UAE-25T1100有3351</t>
  </si>
  <si>
    <t>UAE-25T1100有3451</t>
  </si>
  <si>
    <t>UAE-25T1100有3551</t>
  </si>
  <si>
    <t>UAE-25T1100有3651</t>
  </si>
  <si>
    <t>UAE-25T1100有3751</t>
  </si>
  <si>
    <t>UAE-25T1100有3851</t>
  </si>
  <si>
    <t>UAE-25T1100有3951</t>
  </si>
  <si>
    <t>UAE-25T1100有4051</t>
  </si>
  <si>
    <t>UAE-25T1100有4151</t>
  </si>
  <si>
    <t>UAE-25T1100有4251</t>
  </si>
  <si>
    <t>UAE-25T1100有4351</t>
  </si>
  <si>
    <t>UAE-25T1100有4451</t>
  </si>
  <si>
    <t>UAE-25T1100有4551</t>
  </si>
  <si>
    <t>UAE-25T1100有4651</t>
  </si>
  <si>
    <t>UAE-25T1100有4751</t>
  </si>
  <si>
    <t>UAE-25T1100有4851</t>
  </si>
  <si>
    <t>UAE-25T1100有4951</t>
  </si>
  <si>
    <t>UAE-25T1100有5051</t>
  </si>
  <si>
    <t>UAE-25T1100有5151</t>
  </si>
  <si>
    <t>UAE-25T1100有5251</t>
  </si>
  <si>
    <t>UAE-25T1100有5351</t>
  </si>
  <si>
    <t>UAE-25T1100有5451</t>
  </si>
  <si>
    <t>UAE-25T1100有5551</t>
  </si>
  <si>
    <t>UAE-25T1100有5651</t>
  </si>
  <si>
    <t>UAE-25T1100有5751</t>
  </si>
  <si>
    <t>UAE-25T1100有5851</t>
  </si>
  <si>
    <t>UAE-25T1100有5951</t>
  </si>
  <si>
    <t>UAE-25T1100有6051</t>
  </si>
  <si>
    <t>UAE-25T1100有6151</t>
  </si>
  <si>
    <t>UAE-25T1100有6251</t>
  </si>
  <si>
    <t>UAE-25T1100有6351</t>
  </si>
  <si>
    <t>UAE-25T1100有6451</t>
  </si>
  <si>
    <t>UAE-25T1100有6551</t>
  </si>
  <si>
    <t>UAE-25T1100有6651</t>
  </si>
  <si>
    <t>UAE-25T1100有6751</t>
  </si>
  <si>
    <t>UAE-25T1100有6851</t>
  </si>
  <si>
    <t>UAE-25T1100有6951</t>
  </si>
  <si>
    <t>UAE-25T1100有7051</t>
  </si>
  <si>
    <t>UAE-25T1100有7151</t>
  </si>
  <si>
    <t>UAE-25T1100有7251</t>
  </si>
  <si>
    <t>UAE-25T1100有7351</t>
  </si>
  <si>
    <t>UAE-25T1100有7451</t>
  </si>
  <si>
    <t>UAE-25T1100有7551</t>
  </si>
  <si>
    <t>UAE-25T1100有7651</t>
  </si>
  <si>
    <t>UAE-25T1100有7751</t>
  </si>
  <si>
    <t>UAE-25T1100有7851</t>
  </si>
  <si>
    <t>UAE-25T1100有7951</t>
  </si>
  <si>
    <t>UA-25TR800無0</t>
  </si>
  <si>
    <t>UA-25TR800無2641</t>
  </si>
  <si>
    <t>UA-25TR800無2716</t>
  </si>
  <si>
    <t>UA-25TR800無2766</t>
  </si>
  <si>
    <t>UA-25TR800無2866</t>
  </si>
  <si>
    <t>UA-25TR800無2966</t>
  </si>
  <si>
    <t>UA-25TR800無3066</t>
  </si>
  <si>
    <t>UA-25TR800無3166</t>
  </si>
  <si>
    <t>UA-25TR800無3266</t>
  </si>
  <si>
    <t>UA-25TR800無3366</t>
  </si>
  <si>
    <t>UA-25TR800無3466</t>
  </si>
  <si>
    <t>UA-25TR800無3566</t>
  </si>
  <si>
    <t>UA-25TR800無3666</t>
  </si>
  <si>
    <t>UA-25TR800無3766</t>
  </si>
  <si>
    <t>UA-25TR800無3866</t>
  </si>
  <si>
    <t>UA-25TR800無3966</t>
  </si>
  <si>
    <t>UA-25TR800無4066</t>
  </si>
  <si>
    <t>UA-25TR800無4166</t>
  </si>
  <si>
    <t>UA-25TR800無4266</t>
  </si>
  <si>
    <t>UA-25TR800無4366</t>
  </si>
  <si>
    <t>UA-25TR800無4466</t>
  </si>
  <si>
    <t>UA-25TR800無4566</t>
  </si>
  <si>
    <t>UA-25TR800無4666</t>
  </si>
  <si>
    <t>UA-25TR800無4766</t>
  </si>
  <si>
    <t>UA-25TR800無4866</t>
  </si>
  <si>
    <t>UA-25TR800無4966</t>
  </si>
  <si>
    <t>UA-25TR800無5066</t>
  </si>
  <si>
    <t>UA-25TR800無5166</t>
  </si>
  <si>
    <t>UA-25TR800無5266</t>
  </si>
  <si>
    <t>UA-25TR800無5366</t>
  </si>
  <si>
    <t>UA-25TR800無5466</t>
  </si>
  <si>
    <t>UA-25TR800無5566</t>
  </si>
  <si>
    <t>UA-25TR800無5666</t>
  </si>
  <si>
    <t>UA-25TR800無5766</t>
  </si>
  <si>
    <t>UA-25TR800無5866</t>
  </si>
  <si>
    <t>UA-25TR800無5966</t>
  </si>
  <si>
    <t>UA-25TR800無6066</t>
  </si>
  <si>
    <t>UA-25TR800無6166</t>
  </si>
  <si>
    <t>UA-25TR800無6266</t>
  </si>
  <si>
    <t>UA-25TR800無6366</t>
  </si>
  <si>
    <t>UA-25TR800無6466</t>
  </si>
  <si>
    <t>UA-25TR800無6566</t>
  </si>
  <si>
    <t>UA-25TR800無6666</t>
  </si>
  <si>
    <t>UA-25TR800無6766</t>
  </si>
  <si>
    <t>UA-25TR800無6866</t>
  </si>
  <si>
    <t>UA-25TR800無6966</t>
  </si>
  <si>
    <t>UA-25TR800無7066</t>
  </si>
  <si>
    <t>UA-25TR800無7166</t>
  </si>
  <si>
    <t>UA-25TR800無7266</t>
  </si>
  <si>
    <t>UA-25TR800無7366</t>
  </si>
  <si>
    <t>UA-25TR800無7466</t>
  </si>
  <si>
    <t>UA-25TR800無7566</t>
  </si>
  <si>
    <t>UA-25TR800無7666</t>
  </si>
  <si>
    <t>UA-25TR800無7766</t>
  </si>
  <si>
    <t>UA-25TR800無7866</t>
  </si>
  <si>
    <t>UA-25TR800無7966</t>
  </si>
  <si>
    <t>UA-25TR800有0</t>
  </si>
  <si>
    <t>UA-25TR800有2641</t>
  </si>
  <si>
    <t>UA-25TR800有2716</t>
  </si>
  <si>
    <t>UA-25TR800有2766</t>
  </si>
  <si>
    <t>UA-25TR800有2866</t>
  </si>
  <si>
    <t>UA-25TR800有2966</t>
  </si>
  <si>
    <t>UA-25TR800有3066</t>
  </si>
  <si>
    <t>UA-25TR800有3166</t>
  </si>
  <si>
    <t>UA-25TR800有3266</t>
  </si>
  <si>
    <t>UA-25TR800有3366</t>
  </si>
  <si>
    <t>UA-25TR800有3466</t>
  </si>
  <si>
    <t>UA-25TR800有3566</t>
  </si>
  <si>
    <t>UA-25TR800有3666</t>
  </si>
  <si>
    <t>UA-25TR800有3766</t>
  </si>
  <si>
    <t>UA-25TR800有3866</t>
  </si>
  <si>
    <t>UA-25TR800有3966</t>
  </si>
  <si>
    <t>UA-25TR800有4066</t>
  </si>
  <si>
    <t>UA-25TR800有4166</t>
  </si>
  <si>
    <t>UA-25TR800有4266</t>
  </si>
  <si>
    <t>UA-25TR800有4366</t>
  </si>
  <si>
    <t>UA-25TR800有4466</t>
  </si>
  <si>
    <t>UA-25TR800有4566</t>
  </si>
  <si>
    <t>UA-25TR800有4666</t>
  </si>
  <si>
    <t>UA-25TR800有4766</t>
  </si>
  <si>
    <t>UA-25TR800有4866</t>
  </si>
  <si>
    <t>UA-25TR800有4966</t>
  </si>
  <si>
    <t>UA-25TR800有5066</t>
  </si>
  <si>
    <t>UA-25TR800有5166</t>
  </si>
  <si>
    <t>UA-25TR800有5266</t>
  </si>
  <si>
    <t>UA-25TR800有5366</t>
  </si>
  <si>
    <t>UA-25TR800有5466</t>
  </si>
  <si>
    <t>UA-25TR800有5566</t>
  </si>
  <si>
    <t>UA-25TR800有5666</t>
  </si>
  <si>
    <t>UA-25TR800有5766</t>
  </si>
  <si>
    <t>UA-25TR800有5866</t>
  </si>
  <si>
    <t>UA-25TR800有5966</t>
  </si>
  <si>
    <t>UA-25TR800有6066</t>
  </si>
  <si>
    <t>UA-25TR800有6166</t>
  </si>
  <si>
    <t>UA-25TR800有6266</t>
  </si>
  <si>
    <t>UA-25TR800有6366</t>
  </si>
  <si>
    <t>UA-25TR800有6466</t>
  </si>
  <si>
    <t>UA-25TR800有6566</t>
  </si>
  <si>
    <t>UA-25TR800有6666</t>
  </si>
  <si>
    <t>UA-25TR800有6766</t>
  </si>
  <si>
    <t>UA-25TR800有6866</t>
  </si>
  <si>
    <t>UA-25TR800有6966</t>
  </si>
  <si>
    <t>UA-25TR800有7066</t>
  </si>
  <si>
    <t>UA-25TR800有7166</t>
  </si>
  <si>
    <t>UA-25TR800有7266</t>
  </si>
  <si>
    <t>UA-25TR800有7366</t>
  </si>
  <si>
    <t>UA-25TR800有7466</t>
  </si>
  <si>
    <t>UA-25TR800有7566</t>
  </si>
  <si>
    <t>UA-25TR800有7666</t>
  </si>
  <si>
    <t>UA-25TR800有7766</t>
  </si>
  <si>
    <t>UA-25TR800有7866</t>
  </si>
  <si>
    <t>UA-25TR800有7966</t>
  </si>
  <si>
    <t>UA-25TR900無0</t>
  </si>
  <si>
    <t>UA-25TR900無2641</t>
  </si>
  <si>
    <t>UA-25TR900無2716</t>
  </si>
  <si>
    <t>UA-25TR900無2766</t>
  </si>
  <si>
    <t>UA-25TR900無2866</t>
  </si>
  <si>
    <t>UA-25TR900無2966</t>
  </si>
  <si>
    <t>UA-25TR900無3066</t>
  </si>
  <si>
    <t>UA-25TR900無3166</t>
  </si>
  <si>
    <t>UA-25TR900無3266</t>
  </si>
  <si>
    <t>UA-25TR900無3366</t>
  </si>
  <si>
    <t>UA-25TR900無3466</t>
  </si>
  <si>
    <t>UA-25TR900無3566</t>
  </si>
  <si>
    <t>UA-25TR900無3666</t>
  </si>
  <si>
    <t>UA-25TR900無3766</t>
  </si>
  <si>
    <t>UA-25TR900無3866</t>
  </si>
  <si>
    <t>UA-25TR900無3966</t>
  </si>
  <si>
    <t>UA-25TR900無4066</t>
  </si>
  <si>
    <t>UA-25TR900無4166</t>
  </si>
  <si>
    <t>UA-25TR900無4266</t>
  </si>
  <si>
    <t>UA-25TR900無4366</t>
  </si>
  <si>
    <t>UA-25TR900無4466</t>
  </si>
  <si>
    <t>UA-25TR900無4566</t>
  </si>
  <si>
    <t>UA-25TR900無4666</t>
  </si>
  <si>
    <t>UA-25TR900無4766</t>
  </si>
  <si>
    <t>UA-25TR900無4866</t>
  </si>
  <si>
    <t>UA-25TR900無4966</t>
  </si>
  <si>
    <t>UA-25TR900無5066</t>
  </si>
  <si>
    <t>UA-25TR900無5166</t>
  </si>
  <si>
    <t>UA-25TR900無5266</t>
  </si>
  <si>
    <t>UA-25TR900無5366</t>
  </si>
  <si>
    <t>UA-25TR900無5466</t>
  </si>
  <si>
    <t>UA-25TR900無5566</t>
  </si>
  <si>
    <t>UA-25TR900無5666</t>
  </si>
  <si>
    <t>UA-25TR900無5766</t>
  </si>
  <si>
    <t>UA-25TR900無5866</t>
  </si>
  <si>
    <t>UA-25TR900無5966</t>
  </si>
  <si>
    <t>UA-25TR900無6066</t>
  </si>
  <si>
    <t>UA-25TR900無6166</t>
  </si>
  <si>
    <t>UA-25TR900無6266</t>
  </si>
  <si>
    <t>UA-25TR900無6366</t>
  </si>
  <si>
    <t>UA-25TR900無6466</t>
  </si>
  <si>
    <t>UA-25TR900無6566</t>
  </si>
  <si>
    <t>UA-25TR900無6666</t>
  </si>
  <si>
    <t>UA-25TR900無6766</t>
  </si>
  <si>
    <t>UA-25TR900無6866</t>
  </si>
  <si>
    <t>UA-25TR900無6966</t>
  </si>
  <si>
    <t>UA-25TR900無7066</t>
  </si>
  <si>
    <t>UA-25TR900無7166</t>
  </si>
  <si>
    <t>UA-25TR900無7266</t>
  </si>
  <si>
    <t>UA-25TR900無7366</t>
  </si>
  <si>
    <t>UA-25TR900無7466</t>
  </si>
  <si>
    <t>UA-25TR900無7566</t>
  </si>
  <si>
    <t>UA-25TR900無7666</t>
  </si>
  <si>
    <t>UA-25TR900無7766</t>
  </si>
  <si>
    <t>UA-25TR900無7866</t>
  </si>
  <si>
    <t>UA-25TR900無7966</t>
  </si>
  <si>
    <t>UA-25TR900有0</t>
  </si>
  <si>
    <t>UA-25TR900有2641</t>
  </si>
  <si>
    <t>UA-25TR900有2716</t>
  </si>
  <si>
    <t>UA-25TR900有2766</t>
  </si>
  <si>
    <t>UA-25TR900有2866</t>
  </si>
  <si>
    <t>UA-25TR900有2966</t>
  </si>
  <si>
    <t>UA-25TR900有3066</t>
  </si>
  <si>
    <t>UA-25TR900有3166</t>
  </si>
  <si>
    <t>UA-25TR900有3266</t>
  </si>
  <si>
    <t>UA-25TR900有3366</t>
  </si>
  <si>
    <t>UA-25TR900有3466</t>
  </si>
  <si>
    <t>UA-25TR900有3566</t>
  </si>
  <si>
    <t>UA-25TR900有3666</t>
  </si>
  <si>
    <t>UA-25TR900有3766</t>
  </si>
  <si>
    <t>UA-25TR900有3866</t>
  </si>
  <si>
    <t>UA-25TR900有3966</t>
  </si>
  <si>
    <t>UA-25TR900有4066</t>
  </si>
  <si>
    <t>UA-25TR900有4166</t>
  </si>
  <si>
    <t>UA-25TR900有4266</t>
  </si>
  <si>
    <t>UA-25TR900有4366</t>
  </si>
  <si>
    <t>UA-25TR900有4466</t>
  </si>
  <si>
    <t>UA-25TR900有4566</t>
  </si>
  <si>
    <t>UA-25TR900有4666</t>
  </si>
  <si>
    <t>UA-25TR900有4766</t>
  </si>
  <si>
    <t>UA-25TR900有4866</t>
  </si>
  <si>
    <t>UA-25TR900有4966</t>
  </si>
  <si>
    <t>UA-25TR900有5066</t>
  </si>
  <si>
    <t>UA-25TR900有5166</t>
  </si>
  <si>
    <t>UA-25TR900有5266</t>
  </si>
  <si>
    <t>UA-25TR900有5366</t>
  </si>
  <si>
    <t>UA-25TR900有5466</t>
  </si>
  <si>
    <t>UA-25TR900有5566</t>
  </si>
  <si>
    <t>UA-25TR900有5666</t>
  </si>
  <si>
    <t>UA-25TR900有5766</t>
  </si>
  <si>
    <t>UA-25TR900有5866</t>
  </si>
  <si>
    <t>UA-25TR900有5966</t>
  </si>
  <si>
    <t>UA-25TR900有6066</t>
  </si>
  <si>
    <t>UA-25TR900有6166</t>
  </si>
  <si>
    <t>UA-25TR900有6266</t>
  </si>
  <si>
    <t>UA-25TR900有6366</t>
  </si>
  <si>
    <t>UA-25TR900有6466</t>
  </si>
  <si>
    <t>UA-25TR900有6566</t>
  </si>
  <si>
    <t>UA-25TR900有6666</t>
  </si>
  <si>
    <t>UA-25TR900有6766</t>
  </si>
  <si>
    <t>UA-25TR900有6866</t>
  </si>
  <si>
    <t>UA-25TR900有6966</t>
  </si>
  <si>
    <t>UA-25TR900有7066</t>
  </si>
  <si>
    <t>UA-25TR900有7166</t>
  </si>
  <si>
    <t>UA-25TR900有7266</t>
  </si>
  <si>
    <t>UA-25TR900有7366</t>
  </si>
  <si>
    <t>UA-25TR900有7466</t>
  </si>
  <si>
    <t>UA-25TR900有7566</t>
  </si>
  <si>
    <t>UA-25TR900有7666</t>
  </si>
  <si>
    <t>UA-25TR900有7766</t>
  </si>
  <si>
    <t>UA-25TR900有7866</t>
  </si>
  <si>
    <t>UA-25TR900有7966</t>
  </si>
  <si>
    <t>UA-25TB1100無0</t>
  </si>
  <si>
    <t>UA-25TB1100無2646</t>
  </si>
  <si>
    <t>UA-25TB1100無2716</t>
  </si>
  <si>
    <t>UA-25TB1100無2766</t>
  </si>
  <si>
    <t>UA-25TB1100無2866</t>
  </si>
  <si>
    <t>UA-25TB1100無2966</t>
  </si>
  <si>
    <t>UA-25TB1100無3066</t>
  </si>
  <si>
    <t>UA-25TB1100無3166</t>
  </si>
  <si>
    <t>UA-25TB1100無3266</t>
  </si>
  <si>
    <t>UA-25TB1100無3366</t>
  </si>
  <si>
    <t>UA-25TB1100無3466</t>
  </si>
  <si>
    <t>UA-25TB1100無3566</t>
  </si>
  <si>
    <t>UA-25TB1100無3666</t>
  </si>
  <si>
    <t>UA-25TB1100無3766</t>
  </si>
  <si>
    <t>UA-25TB1100無3866</t>
  </si>
  <si>
    <t>UA-25TB1100無3966</t>
  </si>
  <si>
    <t>UA-25TB1100無4066</t>
  </si>
  <si>
    <t>UA-25TB1100無4166</t>
  </si>
  <si>
    <t>UA-25TB1100無4266</t>
  </si>
  <si>
    <t>UA-25TB1100無4366</t>
  </si>
  <si>
    <t>UA-25TB1100無4466</t>
  </si>
  <si>
    <t>UA-25TB1100無4566</t>
  </si>
  <si>
    <t>UA-25TB1100無4666</t>
  </si>
  <si>
    <t>UA-25TB1100無4766</t>
  </si>
  <si>
    <t>UA-25TB1100無4866</t>
  </si>
  <si>
    <t>UA-25TB1100無4966</t>
  </si>
  <si>
    <t>UA-25TB1100無5066</t>
  </si>
  <si>
    <t>UA-25TB1100無5166</t>
  </si>
  <si>
    <t>UA-25TB1100無5266</t>
  </si>
  <si>
    <t>UA-25TB1100無5366</t>
  </si>
  <si>
    <t>UA-25TB1100無5466</t>
  </si>
  <si>
    <t>UA-25TB1100無5566</t>
  </si>
  <si>
    <t>UA-25TB1100無5666</t>
  </si>
  <si>
    <t>UA-25TB1100無5766</t>
  </si>
  <si>
    <t>UA-25TB1100無5866</t>
  </si>
  <si>
    <t>UA-25TB1100無5966</t>
  </si>
  <si>
    <t>UA-25TB1100無6066</t>
  </si>
  <si>
    <t>UA-25TB1100無6166</t>
  </si>
  <si>
    <t>UA-25TB1100無6266</t>
  </si>
  <si>
    <t>UA-25TB1100無6366</t>
  </si>
  <si>
    <t>UA-25TB1100無6466</t>
  </si>
  <si>
    <t>UA-25TB1100無6566</t>
  </si>
  <si>
    <t>UA-25TB1100無6666</t>
  </si>
  <si>
    <t>UA-25TB1100無6766</t>
  </si>
  <si>
    <t>UA-25TB1100無6866</t>
  </si>
  <si>
    <t>UA-25TB1100無6966</t>
  </si>
  <si>
    <t>UA-25TB1100無7066</t>
  </si>
  <si>
    <t>UA-25TB1100無7166</t>
  </si>
  <si>
    <t>UA-25TB1100無7266</t>
  </si>
  <si>
    <t>UA-25TB1100無7366</t>
  </si>
  <si>
    <t>UA-25TB1100無7466</t>
  </si>
  <si>
    <t>UA-25TB1100無7566</t>
  </si>
  <si>
    <t>UA-25TB1100無7666</t>
  </si>
  <si>
    <t>UA-25TB1100無7766</t>
  </si>
  <si>
    <t>UA-25TB1100無7866</t>
  </si>
  <si>
    <t>UA-25TB1100無7966</t>
  </si>
  <si>
    <t>UA-25TB1100有0</t>
  </si>
  <si>
    <t>UA-25TB1100有2631</t>
  </si>
  <si>
    <t>UA-25TB1100有2701</t>
  </si>
  <si>
    <t>UA-25TB1100有2751</t>
  </si>
  <si>
    <t>UA-25TB1100有2851</t>
  </si>
  <si>
    <t>UA-25TB1100有2951</t>
  </si>
  <si>
    <t>UA-25TB1100有3051</t>
  </si>
  <si>
    <t>UA-25TB1100有3151</t>
  </si>
  <si>
    <t>UA-25TB1100有3251</t>
  </si>
  <si>
    <t>UA-25TB1100有3351</t>
  </si>
  <si>
    <t>UA-25TB1100有3451</t>
  </si>
  <si>
    <t>UA-25TB1100有3551</t>
  </si>
  <si>
    <t>UA-25TB1100有3651</t>
  </si>
  <si>
    <t>UA-25TB1100有3751</t>
  </si>
  <si>
    <t>UA-25TB1100有3851</t>
  </si>
  <si>
    <t>UA-25TB1100有3951</t>
  </si>
  <si>
    <t>UA-25TB1100有4051</t>
  </si>
  <si>
    <t>UA-25TB1100有4151</t>
  </si>
  <si>
    <t>UA-25TB1100有4251</t>
  </si>
  <si>
    <t>UA-25TB1100有4351</t>
  </si>
  <si>
    <t>UA-25TB1100有4451</t>
  </si>
  <si>
    <t>UA-25TB1100有4551</t>
  </si>
  <si>
    <t>UA-25TB1100有4651</t>
  </si>
  <si>
    <t>UA-25TB1100有4751</t>
  </si>
  <si>
    <t>UA-25TB1100有4851</t>
  </si>
  <si>
    <t>UA-25TB1100有4951</t>
  </si>
  <si>
    <t>UA-25TB1100有5051</t>
  </si>
  <si>
    <t>UA-25TB1100有5151</t>
  </si>
  <si>
    <t>UA-25TB1100有5251</t>
  </si>
  <si>
    <t>UA-25TB1100有5351</t>
  </si>
  <si>
    <t>UA-25TB1100有5451</t>
  </si>
  <si>
    <t>UA-25TB1100有5551</t>
  </si>
  <si>
    <t>UA-25TB1100有5651</t>
  </si>
  <si>
    <t>UA-25TB1100有5751</t>
  </si>
  <si>
    <t>UA-25TB1100有5851</t>
  </si>
  <si>
    <t>UA-25TB1100有5951</t>
  </si>
  <si>
    <t>UA-25TB1100有6051</t>
  </si>
  <si>
    <t>UA-25TB1100有6151</t>
  </si>
  <si>
    <t>UA-25TB1100有6251</t>
  </si>
  <si>
    <t>UA-25TB1100有6351</t>
  </si>
  <si>
    <t>UA-25TB1100有6451</t>
  </si>
  <si>
    <t>UA-25TB1100有6551</t>
  </si>
  <si>
    <t>UA-25TB1100有6651</t>
  </si>
  <si>
    <t>UA-25TB1100有6751</t>
  </si>
  <si>
    <t>UA-25TB1100有6851</t>
  </si>
  <si>
    <t>UA-25TB1100有6951</t>
  </si>
  <si>
    <t>UA-25TB1100有7051</t>
  </si>
  <si>
    <t>UA-25TB1100有7151</t>
  </si>
  <si>
    <t>UA-25TB1100有7251</t>
  </si>
  <si>
    <t>UA-25TB1100有7351</t>
  </si>
  <si>
    <t>UA-25TB1100有7451</t>
  </si>
  <si>
    <t>UA-25TB1100有7551</t>
  </si>
  <si>
    <t>UA-25TB1100有7651</t>
  </si>
  <si>
    <t>UA-25TB1100有7751</t>
  </si>
  <si>
    <t>UA-25TB1100有7851</t>
  </si>
  <si>
    <t>UA-25TB1100有7951</t>
  </si>
  <si>
    <t>UA-25TB1200無0</t>
  </si>
  <si>
    <t>UA-25TB1200無2646</t>
  </si>
  <si>
    <t>UA-25TB1200無2716</t>
  </si>
  <si>
    <t>UA-25TB1200無2766</t>
  </si>
  <si>
    <t>UA-25TB1200無2866</t>
  </si>
  <si>
    <t>UA-25TB1200無2966</t>
  </si>
  <si>
    <t>UA-25TB1200無3066</t>
  </si>
  <si>
    <t>UA-25TB1200無3166</t>
  </si>
  <si>
    <t>UA-25TB1200無3266</t>
  </si>
  <si>
    <t>UA-25TB1200無3366</t>
  </si>
  <si>
    <t>UA-25TB1200無3466</t>
  </si>
  <si>
    <t>UA-25TB1200無3566</t>
  </si>
  <si>
    <t>UA-25TB1200無3666</t>
  </si>
  <si>
    <t>UA-25TB1200無3766</t>
  </si>
  <si>
    <t>UA-25TB1200無3866</t>
  </si>
  <si>
    <t>UA-25TB1200無3966</t>
  </si>
  <si>
    <t>UA-25TB1200無4066</t>
  </si>
  <si>
    <t>UA-25TB1200無4166</t>
  </si>
  <si>
    <t>UA-25TB1200無4266</t>
  </si>
  <si>
    <t>UA-25TB1200無4366</t>
  </si>
  <si>
    <t>UA-25TB1200無4466</t>
  </si>
  <si>
    <t>UA-25TB1200無4566</t>
  </si>
  <si>
    <t>UA-25TB1200無4666</t>
  </si>
  <si>
    <t>UA-25TB1200無4766</t>
  </si>
  <si>
    <t>UA-25TB1200無4866</t>
  </si>
  <si>
    <t>UA-25TB1200無4966</t>
  </si>
  <si>
    <t>UA-25TB1200無5066</t>
  </si>
  <si>
    <t>UA-25TB1200無5166</t>
  </si>
  <si>
    <t>UA-25TB1200無5266</t>
  </si>
  <si>
    <t>UA-25TB1200無5366</t>
  </si>
  <si>
    <t>UA-25TB1200無5466</t>
  </si>
  <si>
    <t>UA-25TB1200無5566</t>
  </si>
  <si>
    <t>UA-25TB1200無5666</t>
  </si>
  <si>
    <t>UA-25TB1200無5766</t>
  </si>
  <si>
    <t>UA-25TB1200無5866</t>
  </si>
  <si>
    <t>UA-25TB1200無5966</t>
  </si>
  <si>
    <t>UA-25TB1200無6066</t>
  </si>
  <si>
    <t>UA-25TB1200無6166</t>
  </si>
  <si>
    <t>UA-25TB1200無6266</t>
  </si>
  <si>
    <t>UA-25TB1200無6366</t>
  </si>
  <si>
    <t>UA-25TB1200無6466</t>
  </si>
  <si>
    <t>UA-25TB1200無6566</t>
  </si>
  <si>
    <t>UA-25TB1200無6666</t>
  </si>
  <si>
    <t>UA-25TB1200無6766</t>
  </si>
  <si>
    <t>UA-25TB1200無6866</t>
  </si>
  <si>
    <t>UA-25TB1200無6966</t>
  </si>
  <si>
    <t>UA-25TB1200無7066</t>
  </si>
  <si>
    <t>UA-25TB1200無7166</t>
  </si>
  <si>
    <t>UA-25TB1200無7266</t>
  </si>
  <si>
    <t>UA-25TB1200無7366</t>
  </si>
  <si>
    <t>UA-25TB1200無7466</t>
  </si>
  <si>
    <t>UA-25TB1200無7566</t>
  </si>
  <si>
    <t>UA-25TB1200無7666</t>
  </si>
  <si>
    <t>UA-25TB1200無7766</t>
  </si>
  <si>
    <t>UA-25TB1200無7866</t>
  </si>
  <si>
    <t>UA-25TB1200無7966</t>
  </si>
  <si>
    <t>UA-25TB1200有0</t>
  </si>
  <si>
    <t>UA-25TB1200有2631</t>
  </si>
  <si>
    <t>UA-25TB1200有2701</t>
  </si>
  <si>
    <t>UA-25TB1200有2751</t>
  </si>
  <si>
    <t>UA-25TB1200有2851</t>
  </si>
  <si>
    <t>UA-25TB1200有2951</t>
  </si>
  <si>
    <t>UA-25TB1200有3051</t>
  </si>
  <si>
    <t>UA-25TB1200有3151</t>
  </si>
  <si>
    <t>UA-25TB1200有3251</t>
  </si>
  <si>
    <t>UA-25TB1200有3351</t>
  </si>
  <si>
    <t>UA-25TB1200有3451</t>
  </si>
  <si>
    <t>UA-25TB1200有3551</t>
  </si>
  <si>
    <t>UA-25TB1200有3651</t>
  </si>
  <si>
    <t>UA-25TB1200有3751</t>
  </si>
  <si>
    <t>UA-25TB1200有3851</t>
  </si>
  <si>
    <t>UA-25TB1200有3951</t>
  </si>
  <si>
    <t>UA-25TB1200有4051</t>
  </si>
  <si>
    <t>UA-25TB1200有4151</t>
  </si>
  <si>
    <t>UA-25TB1200有4251</t>
  </si>
  <si>
    <t>UA-25TB1200有4351</t>
  </si>
  <si>
    <t>UA-25TB1200有4451</t>
  </si>
  <si>
    <t>UA-25TB1200有4551</t>
  </si>
  <si>
    <t>UA-25TB1200有4651</t>
  </si>
  <si>
    <t>UA-25TB1200有4751</t>
  </si>
  <si>
    <t>UA-25TB1200有4851</t>
  </si>
  <si>
    <t>UA-25TB1200有4951</t>
  </si>
  <si>
    <t>UA-25TB1200有5051</t>
  </si>
  <si>
    <t>UA-25TB1200有5151</t>
  </si>
  <si>
    <t>UA-25TB1200有5251</t>
  </si>
  <si>
    <t>UA-25TB1200有5351</t>
  </si>
  <si>
    <t>UA-25TB1200有5451</t>
  </si>
  <si>
    <t>UA-25TB1200有5551</t>
  </si>
  <si>
    <t>UA-25TB1200有5651</t>
  </si>
  <si>
    <t>UA-25TB1200有5751</t>
  </si>
  <si>
    <t>UA-25TB1200有5851</t>
  </si>
  <si>
    <t>UA-25TB1200有5951</t>
  </si>
  <si>
    <t>UA-25TB1200有6051</t>
  </si>
  <si>
    <t>UA-25TB1200有6151</t>
  </si>
  <si>
    <t>UA-25TB1200有6251</t>
  </si>
  <si>
    <t>UA-25TB1200有6351</t>
  </si>
  <si>
    <t>UA-25TB1200有6451</t>
  </si>
  <si>
    <t>UA-25TB1200有6551</t>
  </si>
  <si>
    <t>UA-25TB1200有6651</t>
  </si>
  <si>
    <t>UA-25TB1200有6751</t>
  </si>
  <si>
    <t>UA-25TB1200有6851</t>
  </si>
  <si>
    <t>UA-25TB1200有6951</t>
  </si>
  <si>
    <t>UA-25TB1200有7051</t>
  </si>
  <si>
    <t>UA-25TB1200有7151</t>
  </si>
  <si>
    <t>UA-25TB1200有7251</t>
  </si>
  <si>
    <t>UA-25TB1200有7351</t>
  </si>
  <si>
    <t>UA-25TB1200有7451</t>
  </si>
  <si>
    <t>UA-25TB1200有7551</t>
  </si>
  <si>
    <t>UA-25TB1200有7651</t>
  </si>
  <si>
    <t>UA-25TB1200有7751</t>
  </si>
  <si>
    <t>UA-25TB1200有7851</t>
  </si>
  <si>
    <t>UA-25TB1200有7951</t>
  </si>
  <si>
    <t>SA900-01 帳票基本入力</t>
  </si>
  <si>
    <t>機種・寸法・階高は「塔内機器_入力①」に入力します。</t>
  </si>
  <si>
    <t>元機種仕様（P型）</t>
  </si>
  <si>
    <t>Cwtセフティ</t>
  </si>
  <si>
    <t>Cwtｾﾌﾃｨ付</t>
  </si>
  <si>
    <t>テールコード落ち方</t>
  </si>
  <si>
    <t>制御盤距離（mm）</t>
  </si>
  <si>
    <t>入力条件</t>
  </si>
  <si>
    <t>部品の参照状態</t>
  </si>
  <si>
    <t>制御盤距離は従来の出力② B13の入力値です。
黄色が入力欄です。推定部品はDBの確認記録が揃うまで出力しません。階床変更後は未使用の階高を消してください。</t>
  </si>
  <si>
    <t>1. 帳票基本入力を設定</t>
  </si>
  <si>
    <t>2. 機種・寸法・階高を入力</t>
  </si>
  <si>
    <t>3. 出力①・②を確認</t>
  </si>
  <si>
    <t>4. 出力③の部品を確認</t>
  </si>
  <si>
    <t>最上部取付位置 mm</t>
  </si>
  <si>
    <t>出力② 共通条件（元の計算規則）</t>
  </si>
  <si>
    <t>テール用ブラ増員の行程上限 mm</t>
  </si>
  <si>
    <t>Lタイプの行程上限 mm</t>
  </si>
  <si>
    <t>最初の位置への加算 mm</t>
  </si>
  <si>
    <t>横落ち制御盤下端補正 mm</t>
  </si>
  <si>
    <t>テールコードサポートブラ個数</t>
  </si>
  <si>
    <t>合計取付箇所数</t>
  </si>
  <si>
    <t>テールコードタイプ</t>
  </si>
  <si>
    <t>取付行表示可 1=可</t>
  </si>
  <si>
    <t>帳票の最大取付箇所数</t>
  </si>
  <si>
    <t>出力② 開始位置S mm</t>
  </si>
  <si>
    <t>出力② 個数成立 1=可</t>
  </si>
  <si>
    <t>出力② 切上げ間隔P mm</t>
  </si>
  <si>
    <t>出力② 最終間隔 mm</t>
  </si>
  <si>
    <t>出力② 個別警告</t>
  </si>
  <si>
    <t>出力① 実効ガバナ個数</t>
  </si>
  <si>
    <t>出力① 最初の位置 mm</t>
  </si>
  <si>
    <t>出力① 最後の位置 mm</t>
  </si>
  <si>
    <t>出力① 配置成立 1=可</t>
  </si>
  <si>
    <t>出力① 個別警告</t>
  </si>
  <si>
    <t>帳票共通版</t>
  </si>
  <si>
    <t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</si>
</sst>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yyyy\-mm\-dd"/>
    <numFmt numFmtId="178" formatCode="#,##0.0##"/>
  </numFmts>
  <fonts count="185">
    <font>
      <sz val="11"/>
      <name val="Carlito"/>
    </font>
    <font>
      <sz val="11"/>
      <color rgb="FF000000"/>
      <name val="ＭＳ ゴシック"/>
      <family val="3"/>
      <charset val="128"/>
    </font>
    <font>
      <b/>
      <sz val="18"/>
      <color rgb="FF000000"/>
      <name val="ＭＳ ゴシック"/>
      <family val="3"/>
      <charset val="128"/>
    </font>
    <font>
      <b/>
      <sz val="12"/>
      <color rgb="FF000000"/>
      <name val="ＭＳ ゴシック"/>
      <family val="3"/>
      <charset val="128"/>
    </font>
    <font>
      <b/>
      <sz val="11"/>
      <color rgb="FFFFFFFF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Arial"/>
      <family val="2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8"/>
      <color rgb="FF000000"/>
      <name val="ＭＳ ゴシック"/>
      <family val="3"/>
      <charset val="128"/>
    </font>
    <font>
      <sz val="28"/>
      <color rgb="FFFFFFFF"/>
      <name val="ＭＳ ゴシック"/>
      <family val="3"/>
      <charset val="128"/>
    </font>
    <font>
      <sz val="26"/>
      <color rgb="FFFFFFFF"/>
      <name val="ＭＳ ゴシック"/>
      <family val="3"/>
      <charset val="128"/>
    </font>
    <font>
      <sz val="24"/>
      <color rgb="FF000000"/>
      <name val="ＭＳ Ｐゴシック"/>
      <family val="3"/>
      <charset val="128"/>
    </font>
    <font>
      <b/>
      <sz val="22"/>
      <color rgb="FFFFFFFF"/>
      <name val="メイリオ"/>
      <family val="3"/>
      <charset val="128"/>
    </font>
    <font>
      <b/>
      <sz val="20"/>
      <color rgb="FF000000"/>
      <name val="メイリオ"/>
      <family val="3"/>
      <charset val="128"/>
    </font>
    <font>
      <b/>
      <u/>
      <sz val="22"/>
      <color rgb="FF000000"/>
      <name val="メイリオ"/>
      <family val="3"/>
      <charset val="128"/>
    </font>
    <font>
      <b/>
      <sz val="18"/>
      <color rgb="FF000000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b/>
      <sz val="22"/>
      <color rgb="FFFF0000"/>
      <name val="メイリオ"/>
      <family val="3"/>
      <charset val="128"/>
    </font>
    <font>
      <b/>
      <sz val="18"/>
      <color rgb="FFFF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FFFFFF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24"/>
      <color rgb="FFFF0000"/>
      <name val="メイリオ"/>
      <family val="3"/>
      <charset val="128"/>
    </font>
    <font>
      <b/>
      <sz val="22"/>
      <color rgb="FFFFFFFF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color rgb="FFFF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8"/>
      <color rgb="FF000000"/>
      <name val="メイリオ"/>
      <family val="3"/>
      <charset val="128"/>
    </font>
    <font>
      <sz val="11"/>
      <color rgb="FF000000"/>
      <name val="ＭＳ ゴシック"/>
      <family val="3"/>
      <charset val="128"/>
    </font>
    <font>
      <sz val="18"/>
      <color rgb="FF000000"/>
      <name val="メイリオ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b/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sz val="11"/>
      <name val="Carlito"/>
    </font>
    <font>
      <b/>
      <sz val="11"/>
      <color rgb="FFFFFFFF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color rgb="FFFFFFFF"/>
      <name val="ＭＳ ゴシック"/>
      <family val="3"/>
      <charset val="128"/>
    </font>
    <font>
      <sz val="14"/>
      <color rgb="FF000000"/>
      <name val="ＭＳ ゴシック"/>
      <family val="3"/>
      <charset val="128"/>
    </font>
    <font>
      <sz val="10"/>
      <color rgb="FF5C4300"/>
      <name val="ＭＳ ゴシック"/>
      <family val="3"/>
      <charset val="128"/>
    </font>
    <font>
      <sz val="11"/>
      <color rgb="FF253849"/>
      <name val="ＭＳ ゴシック"/>
      <family val="3"/>
      <charset val="128"/>
    </font>
    <font>
      <b/>
      <sz val="20"/>
      <color rgb="FF17365D"/>
      <name val="ＭＳ ゴシック"/>
      <family val="3"/>
      <charset val="128"/>
    </font>
    <font>
      <sz val="11"/>
      <color rgb="FF5C4300"/>
      <name val="ＭＳ ゴシック"/>
      <family val="3"/>
      <charset val="128"/>
    </font>
    <font>
      <b/>
      <sz val="11"/>
      <color rgb="FF253849"/>
      <name val="ＭＳ ゴシック"/>
      <family val="3"/>
      <charset val="128"/>
    </font>
    <font>
      <sz val="9"/>
      <color rgb="FF666666"/>
      <name val="ＭＳ ゴシック"/>
      <family val="3"/>
      <charset val="128"/>
    </font>
    <font>
      <u/>
      <sz val="11"/>
      <color theme="10"/>
      <name val="Carlito"/>
    </font>
    <font>
      <u/>
      <sz val="11"/>
      <color theme="10"/>
      <name val="メイリオ"/>
      <family val="3"/>
      <charset val="128"/>
    </font>
    <font>
      <sz val="18"/>
      <color rgb="FF6E6E6E"/>
      <name val="メイリオ"/>
      <family val="3"/>
      <charset val="128"/>
    </font>
    <font>
      <u/>
      <sz val="11"/>
      <color theme="10"/>
      <name val="ＭＳ ゴシック"/>
      <family val="3"/>
      <charset val="128"/>
    </font>
    <font>
      <sz val="11"/>
      <name val="Carlito"/>
    </font>
    <font>
      <sz val="11"/>
      <color rgb="FF000000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rgb="FF5C4300"/>
      <name val="ＭＳ ゴシック"/>
      <family val="3"/>
      <charset val="128"/>
    </font>
    <font>
      <sz val="11"/>
      <color rgb="FF253849"/>
      <name val="ＭＳ ゴシック"/>
      <family val="3"/>
      <charset val="128"/>
    </font>
    <font>
      <sz val="11"/>
      <color rgb="FF5C4300"/>
      <name val="ＭＳ ゴシック"/>
      <family val="3"/>
      <charset val="128"/>
    </font>
    <font>
      <sz val="12"/>
      <color rgb="FF253849"/>
      <name val="ＭＳ ゴシック"/>
      <family val="3"/>
      <charset val="128"/>
    </font>
    <font>
      <sz val="10"/>
      <color rgb="FF253849"/>
      <name val="ＭＳ ゴシック"/>
      <family val="3"/>
      <charset val="128"/>
    </font>
    <font>
      <sz val="11"/>
      <color rgb="FF253849"/>
      <name val="Carlito"/>
    </font>
    <font>
      <sz val="13"/>
      <color rgb="FF000000"/>
      <name val="メイリオ"/>
      <family val="3"/>
      <charset val="128"/>
    </font>
    <font>
      <sz val="13"/>
      <color rgb="FF000000"/>
      <name val="ＭＳ ゴシック"/>
      <family val="3"/>
      <charset val="128"/>
    </font>
    <font>
      <sz val="12"/>
      <color rgb="FF000000"/>
      <name val="メイリオ"/>
      <family val="3"/>
      <charset val="128"/>
    </font>
    <font>
      <sz val="12"/>
      <color rgb="FF000000"/>
      <name val="ＭＳ ゴシック"/>
      <family val="3"/>
      <charset val="128"/>
    </font>
    <font>
      <sz val="10"/>
      <color rgb="FF000000"/>
      <name val="ＭＳ ゴシック"/>
      <family val="3"/>
      <charset val="128"/>
    </font>
  </fonts>
  <fills count="171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CCFFCC"/>
      </patternFill>
    </fill>
    <fill>
      <patternFill patternType="solid">
        <fgColor rgb="FFCCFFCC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2DCDB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CCFF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E98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CFFCC"/>
      </patternFill>
    </fill>
    <fill>
      <patternFill patternType="solid">
        <fgColor rgb="FFFFE98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E989"/>
      </patternFill>
    </fill>
    <fill>
      <patternFill patternType="solid">
        <fgColor rgb="FFFFE98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16365C"/>
      </patternFill>
    </fill>
    <fill>
      <patternFill patternType="solid">
        <fgColor rgb="FF16365C"/>
      </patternFill>
    </fill>
    <fill>
      <patternFill patternType="none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none"/>
    </fill>
    <fill>
      <patternFill patternType="none"/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AEEF3"/>
      </patternFill>
    </fill>
    <fill>
      <patternFill patternType="solid">
        <fgColor rgb="FFDAEEF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BFBFBF"/>
      </patternFill>
    </fill>
    <fill>
      <patternFill patternType="none"/>
    </fill>
    <fill>
      <patternFill patternType="none"/>
    </fill>
    <fill>
      <patternFill patternType="solid">
        <fgColor rgb="FFBFBFBF"/>
      </patternFill>
    </fill>
    <fill>
      <patternFill patternType="none"/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D9EAF7"/>
      </patternFill>
    </fill>
    <fill>
      <patternFill patternType="none"/>
    </fill>
    <fill>
      <patternFill patternType="solid">
        <fgColor rgb="FFE2F0D9"/>
      </patternFill>
    </fill>
    <fill>
      <patternFill patternType="none"/>
    </fill>
    <fill>
      <patternFill patternType="none"/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solid">
        <fgColor rgb="FFDCE6F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E6E6E6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2CC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</fills>
  <borders count="17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154" fillId="0" borderId="0"/>
    <xf numFmtId="0" fontId="176" fillId="165" borderId="168" xfId="0" applyFont="1" applyFill="1" applyBorder="1" applyAlignment="1">
      <alignment vertical="center" wrapText="1"/>
    </xf>
    <xf numFmtId="0" fontId="167" fillId="0" borderId="0" applyNumberFormat="0" applyFill="0" applyBorder="0" applyAlignment="0" applyProtection="0"/>
    <xf numFmtId="0" fontId="162" fillId="157" borderId="156" xfId="0" applyFont="1" applyFill="1" applyBorder="1" applyAlignment="1">
      <alignment wrapText="1"/>
    </xf>
    <xf numFmtId="0" fontId="175" fillId="164" borderId="168" xfId="0" applyFont="1" applyFill="1" applyBorder="1" applyAlignment="1">
      <alignment wrapText="1"/>
    </xf>
    <xf numFmtId="0" fontId="163" fillId="157" borderId="156" xfId="0" applyFont="1" applyFill="1" applyBorder="1"/>
  </cellStyleXfs>
  <cellXfs count="235">
    <xf numFmtId="0" fontId="0" fillId="0" borderId="0" xfId="0"/>
    <xf numFmtId="0" fontId="163" fillId="167" borderId="166" xfId="0" applyFont="1" applyFill="1" applyBorder="1"/>
    <xf numFmtId="0" fontId="177" fillId="166" borderId="171" xfId="0" applyFont="1" applyFill="1" applyBorder="1" applyProtection="1">
      <protection locked="0"/>
    </xf>
    <xf numFmtId="0" fontId="177" fillId="166" borderId="170" xfId="0" applyFont="1" applyFill="1" applyBorder="1" applyProtection="1">
      <protection locked="0"/>
    </xf>
    <xf numFmtId="0" fontId="177" fillId="166" borderId="169" xfId="0" applyFont="1" applyFill="1" applyBorder="1" applyProtection="1">
      <protection locked="0"/>
    </xf>
    <xf numFmtId="0" fontId="177" fillId="167" borderId="166" xfId="0" applyFont="1" applyFill="1" applyBorder="1"/>
    <xf numFmtId="0" fontId="162" fillId="167" borderId="166" xfId="0" applyFont="1" applyFill="1" applyBorder="1" applyAlignment="1">
      <alignment vertical="center" wrapText="1"/>
    </xf>
    <xf numFmtId="0" fontId="177" fillId="169" borderId="166" xfId="0" applyFont="1" applyFill="1" applyBorder="1" applyAlignment="1">
      <alignment vertical="center" wrapText="1"/>
    </xf>
    <xf numFmtId="0" fontId="162" fillId="157" borderId="156" xfId="2" applyFont="1" applyFill="1" applyBorder="1"/>
    <xf numFmtId="0" fontId="175" fillId="164" borderId="168" xfId="6" applyFont="1" applyFill="1" applyBorder="1"/>
    <xf numFmtId="0" fontId="165" fillId="160" borderId="156" xfId="2" applyFont="1" applyFill="1" applyBorder="1"/>
    <xf numFmtId="0" fontId="165" fillId="160" borderId="156" xfId="2" applyFont="1" applyFill="1" applyBorder="1" applyAlignment="1">
      <alignment horizontal="center"/>
    </xf>
    <xf numFmtId="0" fontId="162" fillId="158" borderId="156" xfId="2" applyFont="1" applyFill="1" applyBorder="1"/>
    <xf numFmtId="0" fontId="162" fillId="158" borderId="156" xfId="2" applyFont="1" applyFill="1" applyBorder="1" applyAlignment="1">
      <alignment horizontal="center"/>
    </xf>
    <xf numFmtId="0" fontId="1" fillId="2" borderId="1" xfId="1" applyFont="1" applyFill="1" applyBorder="1" applyAlignment="1">
      <alignment vertical="center"/>
    </xf>
    <xf numFmtId="0" fontId="3" fillId="4" borderId="3" xfId="1" applyFont="1" applyFill="1" applyBorder="1" applyAlignment="1">
      <alignment horizontal="center" vertical="center"/>
    </xf>
    <xf numFmtId="0" fontId="5" fillId="6" borderId="5" xfId="1" applyFont="1" applyFill="1" applyBorder="1" applyAlignment="1">
      <alignment vertical="center"/>
    </xf>
    <xf numFmtId="0" fontId="7" fillId="8" borderId="7" xfId="1" applyFont="1" applyFill="1" applyBorder="1" applyAlignment="1">
      <alignment vertical="center"/>
    </xf>
    <xf numFmtId="0" fontId="8" fillId="9" borderId="8" xfId="1" applyFont="1" applyFill="1" applyBorder="1" applyAlignment="1">
      <alignment vertical="center"/>
    </xf>
    <xf numFmtId="0" fontId="10" fillId="11" borderId="10" xfId="1" applyFont="1" applyFill="1" applyBorder="1" applyAlignment="1">
      <alignment vertical="center"/>
    </xf>
    <xf numFmtId="0" fontId="12" fillId="13" borderId="12" xfId="1" applyFont="1" applyFill="1" applyBorder="1" applyAlignment="1">
      <alignment horizontal="left" vertical="top"/>
    </xf>
    <xf numFmtId="0" fontId="13" fillId="14" borderId="13" xfId="1" applyFont="1" applyFill="1" applyBorder="1" applyAlignment="1">
      <alignment vertical="center"/>
    </xf>
    <xf numFmtId="0" fontId="14" fillId="15" borderId="14" xfId="1" applyFont="1" applyFill="1" applyBorder="1" applyAlignment="1">
      <alignment vertical="center"/>
    </xf>
    <xf numFmtId="0" fontId="15" fillId="16" borderId="15" xfId="1" applyFont="1" applyFill="1" applyBorder="1" applyAlignment="1">
      <alignment vertical="center"/>
    </xf>
    <xf numFmtId="0" fontId="18" fillId="19" borderId="18" xfId="1" applyFont="1" applyFill="1" applyBorder="1" applyAlignment="1">
      <alignment vertical="center"/>
    </xf>
    <xf numFmtId="0" fontId="19" fillId="20" borderId="19" xfId="1" applyFont="1" applyFill="1" applyBorder="1" applyAlignment="1">
      <alignment vertical="top"/>
    </xf>
    <xf numFmtId="0" fontId="20" fillId="21" borderId="20" xfId="1" applyFont="1" applyFill="1" applyBorder="1" applyAlignment="1">
      <alignment vertical="top"/>
    </xf>
    <xf numFmtId="0" fontId="21" fillId="22" borderId="21" xfId="1" applyFont="1" applyFill="1" applyBorder="1" applyAlignment="1">
      <alignment vertical="top"/>
    </xf>
    <xf numFmtId="0" fontId="22" fillId="23" borderId="22" xfId="1" applyFont="1" applyFill="1" applyBorder="1" applyAlignment="1">
      <alignment vertical="top"/>
    </xf>
    <xf numFmtId="0" fontId="23" fillId="24" borderId="23" xfId="1" applyFont="1" applyFill="1" applyBorder="1" applyAlignment="1">
      <alignment vertical="top"/>
    </xf>
    <xf numFmtId="0" fontId="24" fillId="25" borderId="24" xfId="1" applyFont="1" applyFill="1" applyBorder="1" applyAlignment="1">
      <alignment vertical="top"/>
    </xf>
    <xf numFmtId="0" fontId="26" fillId="27" borderId="26" xfId="1" applyFont="1" applyFill="1" applyBorder="1" applyAlignment="1">
      <alignment vertical="top"/>
    </xf>
    <xf numFmtId="0" fontId="27" fillId="28" borderId="27" xfId="1" applyFont="1" applyFill="1" applyBorder="1" applyAlignment="1">
      <alignment vertical="top"/>
    </xf>
    <xf numFmtId="0" fontId="28" fillId="29" borderId="28" xfId="1" applyFont="1" applyFill="1" applyBorder="1" applyAlignment="1">
      <alignment vertical="top"/>
    </xf>
    <xf numFmtId="49" fontId="30" fillId="31" borderId="30" xfId="1" applyNumberFormat="1" applyFont="1" applyFill="1" applyBorder="1" applyAlignment="1">
      <alignment horizontal="center" vertical="center"/>
    </xf>
    <xf numFmtId="0" fontId="25" fillId="26" borderId="25" xfId="1" applyFont="1" applyFill="1" applyBorder="1" applyAlignment="1">
      <alignment horizontal="center" vertical="center"/>
    </xf>
    <xf numFmtId="0" fontId="31" fillId="32" borderId="31" xfId="1" applyFont="1" applyFill="1" applyBorder="1" applyAlignment="1">
      <alignment horizontal="left" vertical="top"/>
    </xf>
    <xf numFmtId="0" fontId="34" fillId="35" borderId="34" xfId="1" applyFont="1" applyFill="1" applyBorder="1" applyAlignment="1">
      <alignment horizontal="left" vertical="top"/>
    </xf>
    <xf numFmtId="0" fontId="36" fillId="37" borderId="36" xfId="1" applyFont="1" applyFill="1" applyBorder="1" applyAlignment="1">
      <alignment horizontal="left" vertical="center"/>
    </xf>
    <xf numFmtId="0" fontId="38" fillId="39" borderId="38" xfId="1" applyFont="1" applyFill="1" applyBorder="1" applyAlignment="1">
      <alignment vertical="top"/>
    </xf>
    <xf numFmtId="0" fontId="43" fillId="44" borderId="43" xfId="1" applyFont="1" applyFill="1" applyBorder="1" applyAlignment="1">
      <alignment vertical="center"/>
    </xf>
    <xf numFmtId="0" fontId="44" fillId="45" borderId="44" xfId="1" applyFont="1" applyFill="1" applyBorder="1" applyAlignment="1">
      <alignment horizontal="center" vertical="center"/>
    </xf>
    <xf numFmtId="0" fontId="45" fillId="46" borderId="45" xfId="1" applyFont="1" applyFill="1" applyBorder="1" applyAlignment="1">
      <alignment horizontal="center" vertical="center"/>
    </xf>
    <xf numFmtId="0" fontId="46" fillId="47" borderId="46" xfId="1" applyFont="1" applyFill="1" applyBorder="1" applyAlignment="1">
      <alignment vertical="center"/>
    </xf>
    <xf numFmtId="0" fontId="47" fillId="48" borderId="47" xfId="1" applyFont="1" applyFill="1" applyBorder="1" applyAlignment="1">
      <alignment vertical="top"/>
    </xf>
    <xf numFmtId="0" fontId="48" fillId="49" borderId="48" xfId="1" applyFont="1" applyFill="1" applyBorder="1" applyAlignment="1">
      <alignment vertical="top"/>
    </xf>
    <xf numFmtId="0" fontId="65" fillId="67" borderId="66" xfId="1" applyFont="1" applyFill="1" applyBorder="1" applyAlignment="1">
      <alignment horizontal="center" vertical="center"/>
    </xf>
    <xf numFmtId="0" fontId="64" fillId="66" borderId="65" xfId="1" applyFont="1" applyFill="1" applyBorder="1" applyAlignment="1">
      <alignment horizontal="center" vertical="center"/>
    </xf>
    <xf numFmtId="0" fontId="49" fillId="50" borderId="49" xfId="1" applyFont="1" applyFill="1" applyBorder="1" applyAlignment="1">
      <alignment vertical="center"/>
    </xf>
    <xf numFmtId="0" fontId="80" fillId="83" borderId="82" xfId="1" applyFont="1" applyFill="1" applyBorder="1" applyAlignment="1">
      <alignment horizontal="left" vertical="center" wrapText="1"/>
    </xf>
    <xf numFmtId="0" fontId="87" fillId="90" borderId="89" xfId="1" applyFont="1" applyFill="1" applyBorder="1" applyAlignment="1">
      <alignment horizontal="center" vertical="center"/>
    </xf>
    <xf numFmtId="0" fontId="79" fillId="82" borderId="81" xfId="1" applyFont="1" applyFill="1" applyBorder="1" applyAlignment="1">
      <alignment vertical="center"/>
    </xf>
    <xf numFmtId="0" fontId="78" fillId="81" borderId="80" xfId="1" applyFont="1" applyFill="1" applyBorder="1" applyAlignment="1">
      <alignment horizontal="center" vertical="center"/>
    </xf>
    <xf numFmtId="1" fontId="92" fillId="95" borderId="94" xfId="1" applyNumberFormat="1" applyFont="1" applyFill="1" applyBorder="1" applyAlignment="1">
      <alignment vertical="center"/>
    </xf>
    <xf numFmtId="0" fontId="93" fillId="96" borderId="95" xfId="1" applyFont="1" applyFill="1" applyBorder="1" applyAlignment="1">
      <alignment horizontal="center" vertical="center"/>
    </xf>
    <xf numFmtId="0" fontId="95" fillId="98" borderId="97" xfId="1" applyFont="1" applyFill="1" applyBorder="1" applyAlignment="1">
      <alignment vertical="center"/>
    </xf>
    <xf numFmtId="0" fontId="96" fillId="99" borderId="98" xfId="1" applyFont="1" applyFill="1" applyBorder="1" applyAlignment="1">
      <alignment horizontal="center" vertical="center"/>
    </xf>
    <xf numFmtId="0" fontId="171" fillId="162" borderId="166" xfId="4" applyFont="1" applyFill="1"/>
    <xf numFmtId="38" fontId="99" fillId="102" borderId="101" xfId="1" applyNumberFormat="1" applyFont="1" applyFill="1" applyBorder="1" applyAlignment="1">
      <alignment vertical="center"/>
    </xf>
    <xf numFmtId="0" fontId="90" fillId="93" borderId="92" xfId="1" applyFont="1" applyFill="1" applyBorder="1" applyAlignment="1">
      <alignment vertical="center"/>
    </xf>
    <xf numFmtId="0" fontId="100" fillId="103" borderId="102" xfId="1" applyFont="1" applyFill="1" applyBorder="1" applyAlignment="1">
      <alignment horizontal="center" vertical="center"/>
    </xf>
    <xf numFmtId="0" fontId="101" fillId="104" borderId="103" xfId="1" applyFont="1" applyFill="1" applyBorder="1" applyAlignment="1">
      <alignment vertical="center"/>
    </xf>
    <xf numFmtId="0" fontId="102" fillId="105" borderId="104" xfId="1" applyFont="1" applyFill="1" applyBorder="1" applyAlignment="1">
      <alignment horizontal="center" vertical="center" wrapText="1"/>
    </xf>
    <xf numFmtId="0" fontId="104" fillId="107" borderId="106" xfId="1" applyFont="1" applyFill="1" applyBorder="1" applyAlignment="1">
      <alignment horizontal="center" vertical="center"/>
    </xf>
    <xf numFmtId="0" fontId="105" fillId="108" borderId="107" xfId="1" applyFont="1" applyFill="1" applyBorder="1" applyAlignment="1">
      <alignment vertical="center"/>
    </xf>
    <xf numFmtId="0" fontId="106" fillId="109" borderId="108" xfId="1" applyFont="1" applyFill="1" applyBorder="1" applyAlignment="1">
      <alignment vertical="center"/>
    </xf>
    <xf numFmtId="0" fontId="107" fillId="110" borderId="109" xfId="1" applyFont="1" applyFill="1" applyBorder="1" applyAlignment="1">
      <alignment vertical="center"/>
    </xf>
    <xf numFmtId="0" fontId="108" fillId="111" borderId="110" xfId="1" applyFont="1" applyFill="1" applyBorder="1" applyAlignment="1">
      <alignment vertical="center"/>
    </xf>
    <xf numFmtId="0" fontId="109" fillId="112" borderId="111" xfId="1" applyFont="1" applyFill="1" applyBorder="1" applyAlignment="1">
      <alignment horizontal="right" vertical="center"/>
    </xf>
    <xf numFmtId="0" fontId="111" fillId="114" borderId="113" xfId="1" applyFont="1" applyFill="1" applyBorder="1" applyAlignment="1">
      <alignment horizontal="right" vertical="center"/>
    </xf>
    <xf numFmtId="38" fontId="112" fillId="115" borderId="114" xfId="1" applyNumberFormat="1" applyFont="1" applyFill="1" applyBorder="1" applyAlignment="1">
      <alignment horizontal="right" vertical="center"/>
    </xf>
    <xf numFmtId="0" fontId="113" fillId="116" borderId="115" xfId="1" applyFont="1" applyFill="1" applyBorder="1" applyAlignment="1">
      <alignment vertical="center"/>
    </xf>
    <xf numFmtId="0" fontId="115" fillId="118" borderId="117" xfId="1" applyFont="1" applyFill="1" applyBorder="1" applyAlignment="1">
      <alignment horizontal="right" vertical="center"/>
    </xf>
    <xf numFmtId="0" fontId="117" fillId="120" borderId="119" xfId="1" applyFont="1" applyFill="1" applyBorder="1" applyAlignment="1">
      <alignment horizontal="right" vertical="center"/>
    </xf>
    <xf numFmtId="38" fontId="118" fillId="121" borderId="120" xfId="1" applyNumberFormat="1" applyFont="1" applyFill="1" applyBorder="1" applyAlignment="1">
      <alignment horizontal="right" vertical="center"/>
    </xf>
    <xf numFmtId="0" fontId="120" fillId="123" borderId="122" xfId="1" applyFont="1" applyFill="1" applyBorder="1" applyAlignment="1">
      <alignment vertical="center"/>
    </xf>
    <xf numFmtId="0" fontId="121" fillId="124" borderId="123" xfId="1" applyFont="1" applyFill="1" applyBorder="1" applyAlignment="1">
      <alignment horizontal="center" vertical="center"/>
    </xf>
    <xf numFmtId="0" fontId="159" fillId="159" borderId="156" xfId="2" applyFont="1" applyFill="1" applyBorder="1"/>
    <xf numFmtId="0" fontId="122" fillId="125" borderId="124" xfId="1" applyFont="1" applyFill="1" applyBorder="1" applyAlignment="1">
      <alignment horizontal="center" vertical="center" wrapText="1"/>
    </xf>
    <xf numFmtId="0" fontId="156" fillId="157" borderId="156" xfId="2" applyFont="1" applyFill="1" applyBorder="1"/>
    <xf numFmtId="0" fontId="123" fillId="126" borderId="125" xfId="1" applyFont="1" applyFill="1" applyBorder="1" applyAlignment="1">
      <alignment horizontal="center" vertical="center" wrapText="1"/>
    </xf>
    <xf numFmtId="0" fontId="158" fillId="158" borderId="156" xfId="2" applyFont="1" applyFill="1" applyBorder="1" applyAlignment="1">
      <alignment horizontal="center"/>
    </xf>
    <xf numFmtId="49" fontId="158" fillId="158" borderId="156" xfId="2" applyNumberFormat="1" applyFont="1" applyFill="1" applyBorder="1" applyAlignment="1">
      <alignment horizontal="center"/>
    </xf>
    <xf numFmtId="0" fontId="158" fillId="158" borderId="156" xfId="2" applyFont="1" applyFill="1" applyBorder="1"/>
    <xf numFmtId="0" fontId="126" fillId="129" borderId="128" xfId="1" applyFont="1" applyFill="1" applyBorder="1" applyAlignment="1">
      <alignment vertical="center"/>
    </xf>
    <xf numFmtId="0" fontId="127" fillId="130" borderId="129" xfId="1" applyFont="1" applyFill="1" applyBorder="1" applyAlignment="1">
      <alignment vertical="center"/>
    </xf>
    <xf numFmtId="0" fontId="128" fillId="131" borderId="130" xfId="1" applyFont="1" applyFill="1" applyBorder="1" applyAlignment="1">
      <alignment horizontal="center" vertical="center"/>
    </xf>
    <xf numFmtId="0" fontId="129" fillId="132" borderId="131" xfId="1" applyFont="1" applyFill="1" applyBorder="1" applyAlignment="1">
      <alignment horizontal="center" vertical="center"/>
    </xf>
    <xf numFmtId="0" fontId="130" fillId="133" borderId="132" xfId="1" applyFont="1" applyFill="1" applyBorder="1" applyAlignment="1">
      <alignment horizontal="centerContinuous" vertical="center"/>
    </xf>
    <xf numFmtId="0" fontId="131" fillId="134" borderId="133" xfId="1" applyFont="1" applyFill="1" applyBorder="1" applyAlignment="1">
      <alignment horizontal="center" vertical="center" wrapText="1"/>
    </xf>
    <xf numFmtId="0" fontId="132" fillId="135" borderId="134" xfId="1" applyFont="1" applyFill="1" applyBorder="1" applyAlignment="1">
      <alignment horizontal="center" vertical="center" wrapText="1"/>
    </xf>
    <xf numFmtId="0" fontId="125" fillId="128" borderId="127" xfId="1" applyFont="1" applyFill="1" applyBorder="1" applyAlignment="1">
      <alignment horizontal="left" vertical="center"/>
    </xf>
    <xf numFmtId="0" fontId="134" fillId="137" borderId="136" xfId="1" applyFont="1" applyFill="1" applyBorder="1" applyAlignment="1">
      <alignment vertical="center"/>
    </xf>
    <xf numFmtId="0" fontId="135" fillId="138" borderId="137" xfId="1" applyFont="1" applyFill="1" applyBorder="1" applyAlignment="1">
      <alignment vertical="center"/>
    </xf>
    <xf numFmtId="0" fontId="136" fillId="139" borderId="138" xfId="1" applyFont="1" applyFill="1" applyBorder="1" applyAlignment="1">
      <alignment horizontal="center" vertical="center"/>
    </xf>
    <xf numFmtId="0" fontId="137" fillId="140" borderId="139" xfId="1" applyFont="1" applyFill="1" applyBorder="1" applyAlignment="1">
      <alignment horizontal="center" vertical="center"/>
    </xf>
    <xf numFmtId="0" fontId="138" fillId="141" borderId="140" xfId="1" applyFont="1" applyFill="1" applyBorder="1" applyAlignment="1">
      <alignment horizontal="center" vertical="center"/>
    </xf>
    <xf numFmtId="0" fontId="133" fillId="136" borderId="135" xfId="1" applyFont="1" applyFill="1" applyBorder="1" applyAlignment="1">
      <alignment horizontal="center" vertical="center"/>
    </xf>
    <xf numFmtId="0" fontId="140" fillId="143" borderId="142" xfId="1" applyFont="1" applyFill="1" applyBorder="1" applyAlignment="1">
      <alignment vertical="center"/>
    </xf>
    <xf numFmtId="0" fontId="141" fillId="144" borderId="143" xfId="1" applyFont="1" applyFill="1" applyBorder="1" applyAlignment="1">
      <alignment vertical="center"/>
    </xf>
    <xf numFmtId="0" fontId="142" fillId="145" borderId="144" xfId="1" applyFont="1" applyFill="1" applyBorder="1" applyAlignment="1">
      <alignment vertical="center"/>
    </xf>
    <xf numFmtId="0" fontId="143" fillId="146" borderId="145" xfId="1" applyFont="1" applyFill="1" applyBorder="1" applyAlignment="1">
      <alignment horizontal="center" vertical="center"/>
    </xf>
    <xf numFmtId="0" fontId="144" fillId="147" borderId="146" xfId="1" applyFont="1" applyFill="1" applyBorder="1" applyAlignment="1">
      <alignment vertical="center"/>
    </xf>
    <xf numFmtId="0" fontId="145" fillId="148" borderId="147" xfId="1" applyFont="1" applyFill="1" applyBorder="1" applyAlignment="1">
      <alignment vertical="center"/>
    </xf>
    <xf numFmtId="0" fontId="146" fillId="149" borderId="148" xfId="1" applyFont="1" applyFill="1" applyBorder="1" applyAlignment="1">
      <alignment horizontal="center" vertical="center"/>
    </xf>
    <xf numFmtId="0" fontId="147" fillId="150" borderId="149" xfId="1" applyFont="1" applyFill="1" applyBorder="1" applyAlignment="1">
      <alignment horizontal="center" vertical="center"/>
    </xf>
    <xf numFmtId="0" fontId="148" fillId="151" borderId="150" xfId="1" applyFont="1" applyFill="1" applyBorder="1" applyAlignment="1">
      <alignment horizontal="center" vertical="center"/>
    </xf>
    <xf numFmtId="0" fontId="149" fillId="152" borderId="151" xfId="1" applyFont="1" applyFill="1" applyBorder="1" applyAlignment="1">
      <alignment horizontal="center" vertical="center"/>
    </xf>
    <xf numFmtId="0" fontId="150" fillId="153" borderId="152" xfId="1" applyFont="1" applyFill="1" applyBorder="1" applyAlignment="1">
      <alignment horizontal="center" vertical="center"/>
    </xf>
    <xf numFmtId="0" fontId="151" fillId="154" borderId="153" xfId="1" applyFont="1" applyFill="1" applyBorder="1" applyAlignment="1">
      <alignment horizontal="center" vertical="center"/>
    </xf>
    <xf numFmtId="0" fontId="152" fillId="155" borderId="154" xfId="1" applyFont="1" applyFill="1" applyBorder="1" applyAlignment="1">
      <alignment horizontal="center" vertical="center"/>
    </xf>
    <xf numFmtId="0" fontId="153" fillId="156" borderId="155" xfId="1" applyFont="1" applyFill="1" applyBorder="1" applyAlignment="1">
      <alignment vertical="center"/>
    </xf>
    <xf numFmtId="0" fontId="173" fillId="165" borderId="168" xfId="6" applyFont="1" applyFill="1" applyBorder="1" applyAlignment="1">
      <alignment horizontal="center"/>
    </xf>
    <xf numFmtId="0" fontId="177" fillId="167" borderId="166" xfId="4" applyFont="1" applyFill="1"/>
    <xf numFmtId="0" fontId="178" fillId="167" borderId="166" xfId="4" applyFont="1" applyFill="1" applyAlignment="1">
      <alignment wrapText="1"/>
    </xf>
    <xf numFmtId="0" fontId="179" fillId="167" borderId="0" xfId="0" applyFont="1" applyFill="1"/>
    <xf numFmtId="0" fontId="179" fillId="167" borderId="166" xfId="4" applyFont="1" applyFill="1" applyAlignment="1">
      <alignment wrapText="1"/>
    </xf>
    <xf numFmtId="0" fontId="179" fillId="167" borderId="0" xfId="0" applyFont="1" applyFill="1" applyAlignment="1">
      <alignment wrapText="1"/>
    </xf>
    <xf numFmtId="0" fontId="178" fillId="167" borderId="166" xfId="4" applyFont="1" applyFill="1"/>
    <xf numFmtId="0" fontId="178" fillId="169" borderId="166" xfId="4" applyFont="1" applyFill="1" applyAlignment="1">
      <alignment wrapText="1"/>
    </xf>
    <xf numFmtId="0" fontId="179" fillId="169" borderId="166" xfId="4" applyFont="1" applyFill="1" applyAlignment="1">
      <alignment wrapText="1"/>
    </xf>
    <xf numFmtId="0" fontId="159" fillId="168" borderId="166" xfId="4" applyFont="1"/>
    <xf numFmtId="0" fontId="178" fillId="166" borderId="166" xfId="4" applyFont="1" applyFill="1"/>
    <xf numFmtId="177" fontId="178" fillId="166" borderId="166" xfId="4" applyNumberFormat="1" applyFont="1" applyFill="1"/>
    <xf numFmtId="0" fontId="159" fillId="168" borderId="0" xfId="0" applyFont="1" applyFill="1"/>
    <xf numFmtId="0" fontId="184" fillId="167" borderId="0" xfId="0" applyFont="1" applyFill="1"/>
    <xf numFmtId="0" fontId="159" fillId="168" borderId="0" xfId="0" applyFont="1" applyFill="1" applyAlignment="1">
      <alignment shrinkToFit="1"/>
    </xf>
    <xf numFmtId="0" fontId="184" fillId="170" borderId="0" xfId="0" applyFont="1" applyFill="1" applyAlignment="1">
      <alignment shrinkToFit="1"/>
    </xf>
    <xf numFmtId="0" fontId="164" fillId="158" borderId="156" xfId="2" applyFont="1" applyFill="1" applyBorder="1" applyAlignment="1">
      <alignment vertical="center" wrapText="1"/>
    </xf>
    <xf numFmtId="0" fontId="157" fillId="159" borderId="156" xfId="2" applyFont="1" applyFill="1" applyBorder="1" applyAlignment="1"/>
    <xf numFmtId="0" fontId="175" fillId="164" borderId="168" xfId="6" applyFont="1" applyFill="1" applyBorder="1"/>
    <xf numFmtId="0" fontId="162" fillId="157" borderId="156" xfId="2" applyFont="1" applyFill="1" applyBorder="1" applyAlignment="1"/>
    <xf numFmtId="0" fontId="162" fillId="157" borderId="156" xfId="2" applyFont="1" applyFill="1" applyBorder="1" applyAlignment="1">
      <alignment wrapText="1"/>
    </xf>
    <xf numFmtId="0" fontId="167" fillId="164" borderId="168" xfId="3" applyFill="1" applyBorder="1"/>
    <xf numFmtId="0" fontId="0" fillId="164" borderId="168" xfId="0" applyFill="1" applyBorder="1"/>
    <xf numFmtId="0" fontId="166" fillId="157" borderId="156" xfId="0" applyFont="1" applyFill="1" applyBorder="1"/>
    <xf numFmtId="0" fontId="175" fillId="164" borderId="168" xfId="0" applyFont="1" applyFill="1" applyBorder="1" applyAlignment="1">
      <alignment wrapText="1"/>
    </xf>
    <xf numFmtId="0" fontId="157" fillId="159" borderId="156" xfId="0" applyFont="1" applyFill="1" applyBorder="1"/>
    <xf numFmtId="0" fontId="2" fillId="3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vertical="center"/>
    </xf>
    <xf numFmtId="0" fontId="4" fillId="5" borderId="4" xfId="1" applyFont="1" applyFill="1" applyBorder="1" applyAlignment="1">
      <alignment horizontal="center" vertical="center"/>
    </xf>
    <xf numFmtId="0" fontId="6" fillId="7" borderId="6" xfId="1" applyFont="1" applyFill="1" applyBorder="1" applyAlignment="1">
      <alignment horizontal="left" vertical="center"/>
    </xf>
    <xf numFmtId="0" fontId="9" fillId="10" borderId="9" xfId="1" applyFont="1" applyFill="1" applyBorder="1" applyAlignment="1">
      <alignment horizontal="left" vertical="top"/>
    </xf>
    <xf numFmtId="0" fontId="11" fillId="12" borderId="11" xfId="1" applyFont="1" applyFill="1" applyBorder="1" applyAlignment="1">
      <alignment horizontal="left" vertical="top"/>
    </xf>
    <xf numFmtId="0" fontId="12" fillId="13" borderId="12" xfId="1" applyFont="1" applyFill="1" applyBorder="1" applyAlignment="1">
      <alignment horizontal="left" vertical="top"/>
    </xf>
    <xf numFmtId="0" fontId="16" fillId="17" borderId="16" xfId="1" applyFont="1" applyFill="1" applyBorder="1" applyAlignment="1">
      <alignment horizontal="left" vertical="top"/>
    </xf>
    <xf numFmtId="0" fontId="17" fillId="18" borderId="17" xfId="1" applyFont="1" applyFill="1" applyBorder="1" applyAlignment="1">
      <alignment horizontal="center" vertical="center"/>
    </xf>
    <xf numFmtId="0" fontId="29" fillId="30" borderId="29" xfId="1" applyFont="1" applyFill="1" applyBorder="1" applyAlignment="1">
      <alignment horizontal="center" vertical="center" wrapText="1"/>
    </xf>
    <xf numFmtId="0" fontId="32" fillId="33" borderId="32" xfId="1" applyFont="1" applyFill="1" applyBorder="1" applyAlignment="1">
      <alignment vertical="center"/>
    </xf>
    <xf numFmtId="0" fontId="33" fillId="34" borderId="33" xfId="1" applyFont="1" applyFill="1" applyBorder="1" applyAlignment="1">
      <alignment vertical="center"/>
    </xf>
    <xf numFmtId="0" fontId="35" fillId="36" borderId="35" xfId="1" applyFont="1" applyFill="1" applyBorder="1" applyAlignment="1">
      <alignment horizontal="left" vertical="top"/>
    </xf>
    <xf numFmtId="0" fontId="37" fillId="38" borderId="37" xfId="1" applyFont="1" applyFill="1" applyBorder="1" applyAlignment="1">
      <alignment horizontal="left" vertical="center"/>
    </xf>
    <xf numFmtId="0" fontId="38" fillId="39" borderId="38" xfId="1" applyFont="1" applyFill="1" applyBorder="1" applyAlignment="1">
      <alignment vertical="top"/>
    </xf>
    <xf numFmtId="0" fontId="39" fillId="40" borderId="39" xfId="1" applyFont="1" applyFill="1" applyBorder="1" applyAlignment="1">
      <alignment horizontal="left" vertical="top"/>
    </xf>
    <xf numFmtId="0" fontId="40" fillId="41" borderId="40" xfId="1" applyFont="1" applyFill="1" applyBorder="1" applyAlignment="1">
      <alignment vertical="top"/>
    </xf>
    <xf numFmtId="0" fontId="41" fillId="42" borderId="41" xfId="1" applyFont="1" applyFill="1" applyBorder="1" applyAlignment="1">
      <alignment horizontal="left" vertical="top"/>
    </xf>
    <xf numFmtId="0" fontId="42" fillId="43" borderId="42" xfId="1" applyFont="1" applyFill="1" applyBorder="1" applyAlignment="1">
      <alignment horizontal="left" vertical="top"/>
    </xf>
    <xf numFmtId="49" fontId="50" fillId="51" borderId="50" xfId="1" applyNumberFormat="1" applyFont="1" applyFill="1" applyBorder="1" applyAlignment="1">
      <alignment horizontal="center" vertical="center" wrapText="1"/>
    </xf>
    <xf numFmtId="49" fontId="51" fillId="52" borderId="51" xfId="1" applyNumberFormat="1" applyFont="1" applyFill="1" applyBorder="1" applyAlignment="1">
      <alignment horizontal="center" vertical="center" wrapText="1"/>
    </xf>
    <xf numFmtId="49" fontId="52" fillId="53" borderId="157" xfId="1" applyNumberFormat="1" applyFont="1" applyFill="1" applyBorder="1" applyAlignment="1">
      <alignment horizontal="center" vertical="center" wrapText="1"/>
    </xf>
    <xf numFmtId="0" fontId="0" fillId="0" borderId="157" xfId="0" applyBorder="1" applyAlignment="1">
      <alignment horizontal="center" vertical="center" wrapText="1"/>
    </xf>
    <xf numFmtId="0" fontId="167" fillId="54" borderId="52" xfId="3" applyFill="1" applyBorder="1" applyAlignment="1" applyProtection="1">
      <alignment horizontal="center" vertical="center"/>
    </xf>
    <xf numFmtId="0" fontId="53" fillId="55" borderId="53" xfId="1" applyFont="1" applyFill="1" applyBorder="1" applyAlignment="1">
      <alignment horizontal="center" vertical="center"/>
    </xf>
    <xf numFmtId="0" fontId="54" fillId="56" borderId="54" xfId="1" applyFont="1" applyFill="1" applyBorder="1" applyAlignment="1">
      <alignment horizontal="center" vertical="center"/>
    </xf>
    <xf numFmtId="0" fontId="55" fillId="57" borderId="55" xfId="1" applyFont="1" applyFill="1" applyBorder="1" applyAlignment="1">
      <alignment horizontal="left" vertical="center"/>
    </xf>
    <xf numFmtId="0" fontId="169" fillId="161" borderId="56" xfId="1" applyFont="1" applyFill="1" applyBorder="1" applyAlignment="1">
      <alignment horizontal="center" vertical="center"/>
    </xf>
    <xf numFmtId="0" fontId="56" fillId="59" borderId="57" xfId="1" applyFont="1" applyFill="1" applyBorder="1" applyAlignment="1">
      <alignment horizontal="left" vertical="top" wrapText="1"/>
    </xf>
    <xf numFmtId="0" fontId="57" fillId="60" borderId="58" xfId="1" applyFont="1" applyFill="1" applyBorder="1" applyAlignment="1">
      <alignment horizontal="left" vertical="top" wrapText="1"/>
    </xf>
    <xf numFmtId="0" fontId="58" fillId="61" borderId="59" xfId="1" applyFont="1" applyFill="1" applyBorder="1" applyAlignment="1">
      <alignment horizontal="left" vertical="center" wrapText="1"/>
    </xf>
    <xf numFmtId="0" fontId="59" fillId="62" borderId="60" xfId="1" applyFont="1" applyFill="1" applyBorder="1" applyAlignment="1">
      <alignment horizontal="left" vertical="top" wrapText="1"/>
    </xf>
    <xf numFmtId="0" fontId="167" fillId="58" borderId="56" xfId="3" applyFill="1" applyBorder="1" applyAlignment="1" applyProtection="1">
      <alignment horizontal="center" vertical="center"/>
    </xf>
    <xf numFmtId="0" fontId="60" fillId="63" borderId="61" xfId="1" applyFont="1" applyFill="1" applyBorder="1" applyAlignment="1">
      <alignment horizontal="left" vertical="top" wrapText="1"/>
    </xf>
    <xf numFmtId="0" fontId="61" fillId="64" borderId="62" xfId="1" applyFont="1" applyFill="1" applyBorder="1" applyAlignment="1">
      <alignment horizontal="center" vertical="center"/>
    </xf>
    <xf numFmtId="0" fontId="62" fillId="65" borderId="63" xfId="1" applyFont="1" applyFill="1" applyBorder="1" applyAlignment="1">
      <alignment horizontal="left" vertical="center"/>
    </xf>
    <xf numFmtId="0" fontId="63" fillId="166" borderId="64" xfId="1" applyFont="1" applyFill="1" applyBorder="1" applyAlignment="1" applyProtection="1">
      <alignment horizontal="center" vertical="center"/>
      <protection locked="0"/>
    </xf>
    <xf numFmtId="0" fontId="1" fillId="166" borderId="1" xfId="1" applyFont="1" applyFill="1" applyBorder="1" applyAlignment="1" applyProtection="1">
      <alignment vertical="center"/>
      <protection locked="0"/>
    </xf>
    <xf numFmtId="0" fontId="66" fillId="68" borderId="67" xfId="1" applyFont="1" applyFill="1" applyBorder="1" applyAlignment="1">
      <alignment horizontal="left" vertical="center"/>
    </xf>
    <xf numFmtId="38" fontId="67" fillId="166" borderId="68" xfId="1" applyNumberFormat="1" applyFont="1" applyFill="1" applyBorder="1" applyAlignment="1" applyProtection="1">
      <alignment horizontal="center" vertical="center"/>
      <protection locked="0"/>
    </xf>
    <xf numFmtId="0" fontId="68" fillId="70" borderId="69" xfId="1" applyFont="1" applyFill="1" applyBorder="1" applyAlignment="1">
      <alignment horizontal="center" vertical="center"/>
    </xf>
    <xf numFmtId="0" fontId="70" fillId="166" borderId="71" xfId="1" applyFont="1" applyFill="1" applyBorder="1" applyAlignment="1" applyProtection="1">
      <alignment horizontal="center" vertical="center"/>
      <protection locked="0"/>
    </xf>
    <xf numFmtId="0" fontId="64" fillId="66" borderId="65" xfId="1" applyFont="1" applyFill="1" applyBorder="1" applyAlignment="1">
      <alignment horizontal="center" vertical="center"/>
    </xf>
    <xf numFmtId="0" fontId="70" fillId="72" borderId="71" xfId="1" applyFont="1" applyFill="1" applyBorder="1" applyAlignment="1">
      <alignment horizontal="center" vertical="center"/>
    </xf>
    <xf numFmtId="38" fontId="160" fillId="166" borderId="158" xfId="2" applyNumberFormat="1" applyFont="1" applyFill="1" applyBorder="1" applyAlignment="1" applyProtection="1">
      <alignment horizontal="center" vertical="center"/>
      <protection locked="0"/>
    </xf>
    <xf numFmtId="38" fontId="160" fillId="166" borderId="159" xfId="2" applyNumberFormat="1" applyFont="1" applyFill="1" applyBorder="1" applyAlignment="1" applyProtection="1">
      <alignment horizontal="center" vertical="center"/>
      <protection locked="0"/>
    </xf>
    <xf numFmtId="38" fontId="160" fillId="166" borderId="160" xfId="2" applyNumberFormat="1" applyFont="1" applyFill="1" applyBorder="1" applyAlignment="1" applyProtection="1">
      <alignment horizontal="center" vertical="center"/>
      <protection locked="0"/>
    </xf>
    <xf numFmtId="38" fontId="160" fillId="166" borderId="161" xfId="2" applyNumberFormat="1" applyFont="1" applyFill="1" applyBorder="1" applyAlignment="1" applyProtection="1">
      <alignment horizontal="center" vertical="center"/>
      <protection locked="0"/>
    </xf>
    <xf numFmtId="38" fontId="160" fillId="166" borderId="156" xfId="2" applyNumberFormat="1" applyFont="1" applyFill="1" applyBorder="1" applyAlignment="1" applyProtection="1">
      <alignment horizontal="center" vertical="center"/>
      <protection locked="0"/>
    </xf>
    <xf numFmtId="38" fontId="160" fillId="166" borderId="162" xfId="2" applyNumberFormat="1" applyFont="1" applyFill="1" applyBorder="1" applyAlignment="1" applyProtection="1">
      <alignment horizontal="center" vertical="center"/>
      <protection locked="0"/>
    </xf>
    <xf numFmtId="38" fontId="160" fillId="166" borderId="163" xfId="2" applyNumberFormat="1" applyFont="1" applyFill="1" applyBorder="1" applyAlignment="1" applyProtection="1">
      <alignment horizontal="center" vertical="center"/>
      <protection locked="0"/>
    </xf>
    <xf numFmtId="38" fontId="160" fillId="166" borderId="164" xfId="2" applyNumberFormat="1" applyFont="1" applyFill="1" applyBorder="1" applyAlignment="1" applyProtection="1">
      <alignment horizontal="center" vertical="center"/>
      <protection locked="0"/>
    </xf>
    <xf numFmtId="38" fontId="160" fillId="166" borderId="165" xfId="2" applyNumberFormat="1" applyFont="1" applyFill="1" applyBorder="1" applyAlignment="1" applyProtection="1">
      <alignment horizontal="center" vertical="center"/>
      <protection locked="0"/>
    </xf>
    <xf numFmtId="0" fontId="174" fillId="165" borderId="168" xfId="6" applyFont="1" applyFill="1" applyBorder="1" applyAlignment="1">
      <alignment vertical="center" wrapText="1"/>
    </xf>
    <xf numFmtId="0" fontId="161" fillId="158" borderId="156" xfId="2" applyFont="1" applyFill="1" applyBorder="1" applyAlignment="1">
      <alignment vertical="center" wrapText="1"/>
    </xf>
    <xf numFmtId="0" fontId="72" fillId="74" borderId="73" xfId="1" applyFont="1" applyFill="1" applyBorder="1" applyAlignment="1">
      <alignment horizontal="center"/>
    </xf>
    <xf numFmtId="0" fontId="73" fillId="75" borderId="74" xfId="1" applyFont="1" applyFill="1" applyBorder="1" applyAlignment="1">
      <alignment horizontal="left" vertical="center"/>
    </xf>
    <xf numFmtId="38" fontId="74" fillId="76" borderId="75" xfId="1" applyNumberFormat="1" applyFont="1" applyFill="1" applyBorder="1" applyAlignment="1">
      <alignment horizontal="center" vertical="center"/>
    </xf>
    <xf numFmtId="0" fontId="180" fillId="77" borderId="76" xfId="1" applyFont="1" applyFill="1" applyBorder="1" applyAlignment="1">
      <alignment horizontal="left" vertical="center"/>
    </xf>
    <xf numFmtId="0" fontId="181" fillId="2" borderId="1" xfId="1" applyFont="1" applyFill="1" applyBorder="1" applyAlignment="1">
      <alignment vertical="center"/>
    </xf>
    <xf numFmtId="0" fontId="182" fillId="78" borderId="77" xfId="1" applyFont="1" applyFill="1" applyBorder="1" applyAlignment="1">
      <alignment horizontal="left" vertical="center" wrapText="1"/>
    </xf>
    <xf numFmtId="0" fontId="183" fillId="2" borderId="1" xfId="1" applyFont="1" applyFill="1" applyBorder="1" applyAlignment="1">
      <alignment vertical="center"/>
    </xf>
    <xf numFmtId="1" fontId="76" fillId="79" borderId="78" xfId="1" applyNumberFormat="1" applyFont="1" applyFill="1" applyBorder="1" applyAlignment="1">
      <alignment horizontal="center" vertical="center"/>
    </xf>
    <xf numFmtId="178" fontId="77" fillId="80" borderId="79" xfId="1" applyNumberFormat="1" applyFont="1" applyFill="1" applyBorder="1" applyAlignment="1">
      <alignment horizontal="center" vertical="center"/>
    </xf>
    <xf numFmtId="178" fontId="1" fillId="2" borderId="1" xfId="1" applyNumberFormat="1" applyFont="1" applyFill="1" applyBorder="1" applyAlignment="1">
      <alignment vertical="center"/>
    </xf>
    <xf numFmtId="0" fontId="75" fillId="77" borderId="76" xfId="1" applyFont="1" applyFill="1" applyBorder="1" applyAlignment="1">
      <alignment horizontal="left" vertical="center"/>
    </xf>
    <xf numFmtId="38" fontId="67" fillId="69" borderId="68" xfId="1" applyNumberFormat="1" applyFont="1" applyFill="1" applyBorder="1" applyAlignment="1">
      <alignment horizontal="center" vertical="center"/>
    </xf>
    <xf numFmtId="0" fontId="81" fillId="84" borderId="83" xfId="1" applyFont="1" applyFill="1" applyBorder="1" applyAlignment="1">
      <alignment horizontal="center" wrapText="1"/>
    </xf>
    <xf numFmtId="0" fontId="82" fillId="85" borderId="84" xfId="1" applyFont="1" applyFill="1" applyBorder="1" applyAlignment="1">
      <alignment wrapText="1"/>
    </xf>
    <xf numFmtId="0" fontId="83" fillId="86" borderId="85" xfId="1" applyFont="1" applyFill="1" applyBorder="1" applyAlignment="1">
      <alignment horizontal="left" vertical="top" wrapText="1"/>
    </xf>
    <xf numFmtId="0" fontId="71" fillId="73" borderId="72" xfId="1" applyFont="1" applyFill="1" applyBorder="1" applyAlignment="1">
      <alignment vertical="center"/>
    </xf>
    <xf numFmtId="0" fontId="69" fillId="71" borderId="70" xfId="1" applyFont="1" applyFill="1" applyBorder="1" applyAlignment="1">
      <alignment horizontal="center" vertical="center"/>
    </xf>
    <xf numFmtId="0" fontId="85" fillId="88" borderId="87" xfId="1" applyFont="1" applyFill="1" applyBorder="1" applyAlignment="1">
      <alignment horizontal="center" vertical="center"/>
    </xf>
    <xf numFmtId="178" fontId="86" fillId="89" borderId="88" xfId="1" applyNumberFormat="1" applyFont="1" applyFill="1" applyBorder="1" applyAlignment="1">
      <alignment horizontal="center" vertical="center"/>
    </xf>
    <xf numFmtId="178" fontId="84" fillId="87" borderId="86" xfId="1" applyNumberFormat="1" applyFont="1" applyFill="1" applyBorder="1" applyAlignment="1">
      <alignment horizontal="center" vertical="center"/>
    </xf>
    <xf numFmtId="176" fontId="88" fillId="91" borderId="90" xfId="1" applyNumberFormat="1" applyFont="1" applyFill="1" applyBorder="1" applyAlignment="1">
      <alignment horizontal="center" vertical="center"/>
    </xf>
    <xf numFmtId="0" fontId="89" fillId="92" borderId="91" xfId="1" applyFont="1" applyFill="1" applyBorder="1" applyAlignment="1">
      <alignment horizontal="left" vertical="center"/>
    </xf>
    <xf numFmtId="0" fontId="91" fillId="94" borderId="93" xfId="1" applyFont="1" applyFill="1" applyBorder="1" applyAlignment="1">
      <alignment horizontal="left" vertical="center"/>
    </xf>
    <xf numFmtId="0" fontId="78" fillId="81" borderId="80" xfId="1" applyFont="1" applyFill="1" applyBorder="1" applyAlignment="1">
      <alignment horizontal="center" vertical="center"/>
    </xf>
    <xf numFmtId="38" fontId="98" fillId="101" borderId="100" xfId="1" applyNumberFormat="1" applyFont="1" applyFill="1" applyBorder="1" applyAlignment="1">
      <alignment horizontal="right" vertical="center"/>
    </xf>
    <xf numFmtId="0" fontId="93" fillId="96" borderId="95" xfId="1" applyFont="1" applyFill="1" applyBorder="1" applyAlignment="1">
      <alignment horizontal="center" vertical="center"/>
    </xf>
    <xf numFmtId="0" fontId="94" fillId="97" borderId="96" xfId="1" applyFont="1" applyFill="1" applyBorder="1" applyAlignment="1">
      <alignment horizontal="center" vertical="center"/>
    </xf>
    <xf numFmtId="0" fontId="172" fillId="163" borderId="167" xfId="5" applyFont="1" applyFill="1" applyBorder="1" applyAlignment="1">
      <alignment vertical="center"/>
    </xf>
    <xf numFmtId="0" fontId="102" fillId="105" borderId="104" xfId="1" applyFont="1" applyFill="1" applyBorder="1" applyAlignment="1">
      <alignment horizontal="center" vertical="center" wrapText="1"/>
    </xf>
    <xf numFmtId="2" fontId="103" fillId="106" borderId="105" xfId="1" applyNumberFormat="1" applyFont="1" applyFill="1" applyBorder="1" applyAlignment="1">
      <alignment horizontal="center" vertical="center"/>
    </xf>
    <xf numFmtId="0" fontId="100" fillId="103" borderId="102" xfId="1" applyFont="1" applyFill="1" applyBorder="1" applyAlignment="1">
      <alignment horizontal="center" vertical="center"/>
    </xf>
    <xf numFmtId="0" fontId="104" fillId="107" borderId="106" xfId="1" applyFont="1" applyFill="1" applyBorder="1" applyAlignment="1">
      <alignment horizontal="center" vertical="center"/>
    </xf>
    <xf numFmtId="38" fontId="110" fillId="113" borderId="112" xfId="1" applyNumberFormat="1" applyFont="1" applyFill="1" applyBorder="1" applyAlignment="1">
      <alignment horizontal="center" vertical="center"/>
    </xf>
    <xf numFmtId="0" fontId="96" fillId="99" borderId="98" xfId="1" applyFont="1" applyFill="1" applyBorder="1" applyAlignment="1">
      <alignment horizontal="center" vertical="center"/>
    </xf>
    <xf numFmtId="38" fontId="114" fillId="117" borderId="116" xfId="1" applyNumberFormat="1" applyFont="1" applyFill="1" applyBorder="1" applyAlignment="1">
      <alignment horizontal="center" vertical="center"/>
    </xf>
    <xf numFmtId="0" fontId="97" fillId="100" borderId="99" xfId="1" applyFont="1" applyFill="1" applyBorder="1" applyAlignment="1">
      <alignment horizontal="center" vertical="center"/>
    </xf>
    <xf numFmtId="0" fontId="116" fillId="119" borderId="118" xfId="1" applyFont="1" applyFill="1" applyBorder="1" applyAlignment="1">
      <alignment horizontal="center" vertical="center"/>
    </xf>
    <xf numFmtId="38" fontId="119" fillId="122" borderId="121" xfId="1" applyNumberFormat="1" applyFont="1" applyFill="1" applyBorder="1" applyAlignment="1">
      <alignment horizontal="center" vertical="center"/>
    </xf>
    <xf numFmtId="0" fontId="124" fillId="127" borderId="126" xfId="1" applyFont="1" applyFill="1" applyBorder="1" applyAlignment="1">
      <alignment horizontal="left" vertical="center"/>
    </xf>
    <xf numFmtId="0" fontId="139" fillId="142" borderId="141" xfId="1" applyFont="1" applyFill="1" applyBorder="1" applyAlignment="1">
      <alignment horizontal="center" vertical="center"/>
    </xf>
    <xf numFmtId="0" fontId="184" fillId="167" borderId="0" xfId="0" applyFont="1" applyFill="1" applyProtection="1"/>
    <xf numFmtId="0" fontId="184" fillId="170" borderId="0" xfId="0" applyFont="1" applyFill="1" applyAlignment="1" applyProtection="1">
      <alignment shrinkToFit="1"/>
    </xf>
  </cellXfs>
  <cellStyles count="3">
    <cellStyle name="Normal" xfId="1" xr:uid="{00000000-0005-0000-0000-000000000000}"/>
    <cellStyle name="ハイパーリンク" xfId="3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68B00"/>
    <pageSetUpPr fitToPage="1"/>
  </sheetPr>
  <dimension ref="A1:H47"/>
  <sheetViews>
    <sheetView showGridLines="0" zoomScale="90" zoomScaleNormal="90" workbookViewId="0"/>
  </sheetViews>
  <sheetFormatPr defaultRowHeight="14.25"/>
  <cols>
    <col min="1" max="1" width="2" customWidth="1"/>
    <col min="2" max="2" width="24" customWidth="1"/>
    <col min="3" max="4" width="18" customWidth="1"/>
    <col min="5" max="7" width="21" customWidth="1"/>
    <col min="8" max="8" width="2" customWidth="1"/>
  </cols>
  <sheetData>
    <row r="1" spans="1:8" ht="23.1" customHeight="1">
      <c r="A1" s="8"/>
      <c r="B1" s="8"/>
      <c r="C1" s="8"/>
      <c r="D1" s="8"/>
      <c r="E1" s="8"/>
      <c r="F1" s="8"/>
      <c r="G1" s="8"/>
      <c r="H1" s="8"/>
    </row>
    <row r="2" spans="1:8" ht="33.950000000000003" customHeight="1">
      <c r="A2" s="8"/>
      <c r="B2" s="6" t="s">
        <v>1002</v>
      </c>
      <c r="C2" s="6"/>
      <c r="D2" s="6"/>
      <c r="E2" s="6"/>
      <c r="F2" s="6"/>
      <c r="G2" s="6"/>
      <c r="H2" s="8"/>
    </row>
    <row r="3" spans="1:8" ht="23.1" customHeight="1">
      <c r="A3" s="8"/>
      <c r="B3" s="5" t="s">
        <v>1045</v>
      </c>
      <c r="C3" s="4"/>
      <c r="D3" s="4"/>
      <c r="E3" s="4"/>
      <c r="F3" s="4"/>
      <c r="G3" s="4"/>
      <c r="H3" s="8"/>
    </row>
    <row r="4" spans="1:8" ht="23.1" customHeight="1">
      <c r="A4" s="8"/>
      <c r="B4" s="2" t="s">
        <v>1046</v>
      </c>
      <c r="C4" s="128"/>
      <c r="D4" s="128"/>
      <c r="E4" s="128"/>
      <c r="F4" s="128"/>
      <c r="G4" s="128"/>
      <c r="H4" s="8"/>
    </row>
    <row r="5" spans="1:8" ht="23.1" customHeight="1">
      <c r="A5" s="8"/>
      <c r="B5" s="128"/>
      <c r="C5" s="128"/>
      <c r="D5" s="128"/>
      <c r="E5" s="128"/>
      <c r="F5" s="128"/>
      <c r="G5" s="128"/>
      <c r="H5" s="8"/>
    </row>
    <row r="6" spans="1:8" ht="23.1" customHeight="1">
      <c r="A6" s="8"/>
      <c r="B6" s="8"/>
      <c r="C6" s="8"/>
      <c r="D6" s="8"/>
      <c r="E6" s="8"/>
      <c r="F6" s="8"/>
      <c r="G6" s="8"/>
      <c r="H6" s="8"/>
    </row>
    <row r="7" spans="1:8" ht="24.95" customHeight="1">
      <c r="A7" s="8"/>
      <c r="B7" s="129" t="s">
        <v>1003</v>
      </c>
      <c r="C7" s="129"/>
      <c r="D7" s="129"/>
      <c r="E7" s="129"/>
      <c r="F7" s="129"/>
      <c r="G7" s="129"/>
      <c r="H7" s="8"/>
    </row>
    <row r="8" spans="1:8" ht="23.1" customHeight="1">
      <c r="A8" s="8"/>
      <c r="B8" s="8" t="s">
        <v>51</v>
      </c>
      <c r="C8" s="130" t="str">
        <f>帳票基本入力!C5</f>
        <v>1-7</v>
      </c>
      <c r="D8" s="131"/>
      <c r="E8" s="8" t="s">
        <v>1004</v>
      </c>
      <c r="F8" s="131" t="str">
        <f>塔内機器_計算用シート!R4</f>
        <v>UA-25TP900有</v>
      </c>
      <c r="G8" s="131"/>
      <c r="H8" s="8"/>
    </row>
    <row r="9" spans="1:8" ht="23.1" customHeight="1">
      <c r="A9" s="8"/>
      <c r="B9" s="8" t="s">
        <v>1005</v>
      </c>
      <c r="C9" s="130" t="str">
        <f>IF(塔内機器_計算用シート!Y4&lt;&gt;1,"未登録・重複",IF(COUNTIF(塔内機器_入力①_DB!$C$201:$C$937,C8)&gt;0,"補完・追記","原データ"))</f>
        <v>補完・追記</v>
      </c>
      <c r="D9" s="131"/>
      <c r="E9" s="8" t="s">
        <v>1006</v>
      </c>
      <c r="F9" s="131" t="str">
        <f>IFERROR(VLOOKUP(F8,塔内機器_出力②_DB!$M$4:$O$23,3,FALSE),"未登録")</f>
        <v>原データ</v>
      </c>
      <c r="G9" s="131"/>
      <c r="H9" s="8"/>
    </row>
    <row r="10" spans="1:8" ht="38.1" customHeight="1">
      <c r="A10" s="8"/>
      <c r="B10" s="8" t="s">
        <v>1007</v>
      </c>
      <c r="C10" s="5" t="str">
        <f>塔内機器_計算用シート!Y23</f>
        <v>参照範囲内（設計妥当性は要照合）</v>
      </c>
      <c r="D10" s="132"/>
      <c r="E10" s="132"/>
      <c r="F10" s="132"/>
      <c r="G10" s="132"/>
      <c r="H10" s="8"/>
    </row>
    <row r="11" spans="1:8" ht="23.1" customHeight="1">
      <c r="A11" s="8"/>
      <c r="B11" s="8"/>
      <c r="C11" s="8"/>
      <c r="D11" s="8"/>
      <c r="E11" s="8"/>
      <c r="F11" s="8"/>
      <c r="G11" s="8"/>
      <c r="H11" s="8"/>
    </row>
    <row r="12" spans="1:8" ht="24.95" customHeight="1">
      <c r="A12" s="8"/>
      <c r="B12" s="129" t="s">
        <v>1008</v>
      </c>
      <c r="C12" s="129"/>
      <c r="D12" s="129"/>
      <c r="E12" s="129"/>
      <c r="F12" s="129"/>
      <c r="G12" s="129"/>
      <c r="H12" s="8"/>
    </row>
    <row r="13" spans="1:8" ht="27.95" customHeight="1">
      <c r="A13" s="8"/>
      <c r="B13" s="133" t="s">
        <v>2279</v>
      </c>
      <c r="C13" s="134"/>
      <c r="D13" s="134"/>
      <c r="E13" s="133" t="s">
        <v>2280</v>
      </c>
      <c r="F13" s="134"/>
      <c r="G13" s="134"/>
      <c r="H13" s="8"/>
    </row>
    <row r="14" spans="1:8" ht="27.95" customHeight="1">
      <c r="A14" s="8"/>
      <c r="B14" s="133" t="s">
        <v>2281</v>
      </c>
      <c r="C14" s="134"/>
      <c r="D14" s="134"/>
      <c r="E14" s="133" t="s">
        <v>2282</v>
      </c>
      <c r="F14" s="134"/>
      <c r="G14" s="134"/>
      <c r="H14" s="8"/>
    </row>
    <row r="15" spans="1:8" ht="23.1" customHeight="1">
      <c r="A15" s="8"/>
      <c r="B15" s="8"/>
      <c r="C15" s="8"/>
      <c r="D15" s="8"/>
      <c r="E15" s="8"/>
      <c r="F15" s="8"/>
      <c r="G15" s="8"/>
      <c r="H15" s="8"/>
    </row>
    <row r="16" spans="1:8" ht="24.95" customHeight="1">
      <c r="A16" s="8"/>
      <c r="B16" s="129" t="s">
        <v>1009</v>
      </c>
      <c r="C16" s="129"/>
      <c r="D16" s="129"/>
      <c r="E16" s="129"/>
      <c r="F16" s="129"/>
      <c r="G16" s="129"/>
      <c r="H16" s="8"/>
    </row>
    <row r="17" spans="1:8" ht="33.950000000000003" customHeight="1">
      <c r="A17" s="8"/>
      <c r="B17" s="9" t="s">
        <v>1005</v>
      </c>
      <c r="C17" s="5" t="s">
        <v>1047</v>
      </c>
      <c r="D17" s="132"/>
      <c r="E17" s="132"/>
      <c r="F17" s="132"/>
      <c r="G17" s="132"/>
      <c r="H17" s="8"/>
    </row>
    <row r="18" spans="1:8" ht="33.950000000000003" customHeight="1">
      <c r="A18" s="8"/>
      <c r="B18" s="9" t="s">
        <v>1048</v>
      </c>
      <c r="C18" s="5" t="s">
        <v>1049</v>
      </c>
      <c r="D18" s="132"/>
      <c r="E18" s="132"/>
      <c r="F18" s="132"/>
      <c r="G18" s="132"/>
      <c r="H18" s="8"/>
    </row>
    <row r="19" spans="1:8" ht="33.950000000000003" customHeight="1">
      <c r="A19" s="8"/>
      <c r="B19" s="9" t="s">
        <v>1050</v>
      </c>
      <c r="C19" s="5" t="s">
        <v>1051</v>
      </c>
      <c r="D19" s="132"/>
      <c r="E19" s="132"/>
      <c r="F19" s="132"/>
      <c r="G19" s="132"/>
      <c r="H19" s="8"/>
    </row>
    <row r="20" spans="1:8" ht="33.950000000000003" customHeight="1">
      <c r="A20" s="8"/>
      <c r="B20" s="9" t="s">
        <v>1052</v>
      </c>
      <c r="C20" s="5" t="s">
        <v>1053</v>
      </c>
      <c r="D20" s="132"/>
      <c r="E20" s="132"/>
      <c r="F20" s="132"/>
      <c r="G20" s="132"/>
      <c r="H20" s="8"/>
    </row>
    <row r="21" spans="1:8" ht="33.950000000000003" customHeight="1">
      <c r="A21" s="8"/>
      <c r="B21" s="9" t="s">
        <v>1054</v>
      </c>
      <c r="C21" s="5" t="s">
        <v>1055</v>
      </c>
      <c r="D21" s="132"/>
      <c r="E21" s="132"/>
      <c r="F21" s="132"/>
      <c r="G21" s="132"/>
      <c r="H21" s="8"/>
    </row>
    <row r="22" spans="1:8" ht="33.950000000000003" customHeight="1">
      <c r="A22" s="8"/>
      <c r="B22" s="9" t="s">
        <v>1056</v>
      </c>
      <c r="C22" s="5" t="s">
        <v>1057</v>
      </c>
      <c r="D22" s="132"/>
      <c r="E22" s="132"/>
      <c r="F22" s="132"/>
      <c r="G22" s="132"/>
      <c r="H22" s="8"/>
    </row>
    <row r="23" spans="1:8" ht="33.950000000000003" customHeight="1">
      <c r="A23" s="8"/>
      <c r="B23" s="9" t="s">
        <v>1010</v>
      </c>
      <c r="C23" s="5" t="s">
        <v>1058</v>
      </c>
      <c r="D23" s="132"/>
      <c r="E23" s="132"/>
      <c r="F23" s="132"/>
      <c r="G23" s="132"/>
      <c r="H23" s="8"/>
    </row>
    <row r="24" spans="1:8" ht="33.950000000000003" customHeight="1">
      <c r="A24" s="8"/>
      <c r="B24" s="9" t="s">
        <v>1011</v>
      </c>
      <c r="C24" s="136" t="s">
        <v>1059</v>
      </c>
      <c r="D24" s="4"/>
      <c r="E24" s="4"/>
      <c r="F24" s="4"/>
      <c r="G24" s="4"/>
      <c r="H24" s="8"/>
    </row>
    <row r="25" spans="1:8" ht="23.1" customHeight="1">
      <c r="A25" s="8"/>
      <c r="B25" s="8"/>
      <c r="C25" s="8"/>
      <c r="D25" s="8"/>
      <c r="E25" s="8"/>
      <c r="F25" s="8"/>
      <c r="G25" s="8"/>
      <c r="H25" s="8"/>
    </row>
    <row r="26" spans="1:8" ht="24.95" customHeight="1">
      <c r="A26" s="8"/>
      <c r="B26" s="137" t="s">
        <v>1012</v>
      </c>
      <c r="C26" s="137"/>
      <c r="D26" s="137"/>
      <c r="E26" s="137"/>
      <c r="F26" s="137"/>
      <c r="G26" s="137"/>
      <c r="H26" s="8"/>
    </row>
    <row r="27" spans="1:8" ht="23.1" customHeight="1">
      <c r="A27" s="8"/>
      <c r="B27" s="10" t="s">
        <v>315</v>
      </c>
      <c r="C27" s="10" t="s">
        <v>1013</v>
      </c>
      <c r="D27" s="11" t="s">
        <v>217</v>
      </c>
      <c r="E27" s="11" t="s">
        <v>1014</v>
      </c>
      <c r="F27" s="10" t="s">
        <v>1015</v>
      </c>
      <c r="G27" s="10" t="s">
        <v>1016</v>
      </c>
      <c r="H27" s="8"/>
    </row>
    <row r="28" spans="1:8" ht="23.1" customHeight="1">
      <c r="A28" s="8"/>
      <c r="B28" s="12" t="s">
        <v>661</v>
      </c>
      <c r="C28" s="12" t="s">
        <v>655</v>
      </c>
      <c r="D28" s="13">
        <v>1000</v>
      </c>
      <c r="E28" s="13" t="s">
        <v>596</v>
      </c>
      <c r="F28" s="12" t="s">
        <v>1017</v>
      </c>
      <c r="G28" s="12" t="s">
        <v>1018</v>
      </c>
      <c r="H28" s="8"/>
    </row>
    <row r="29" spans="1:8" ht="23.1" customHeight="1">
      <c r="A29" s="8"/>
      <c r="B29" s="12" t="s">
        <v>662</v>
      </c>
      <c r="C29" s="12" t="s">
        <v>655</v>
      </c>
      <c r="D29" s="13">
        <v>1000</v>
      </c>
      <c r="E29" s="13" t="s">
        <v>264</v>
      </c>
      <c r="F29" s="12" t="s">
        <v>1019</v>
      </c>
      <c r="G29" s="12" t="s">
        <v>1020</v>
      </c>
      <c r="H29" s="8"/>
    </row>
    <row r="30" spans="1:8" ht="23.1" customHeight="1">
      <c r="A30" s="8"/>
      <c r="B30" s="12" t="s">
        <v>662</v>
      </c>
      <c r="C30" s="12" t="s">
        <v>655</v>
      </c>
      <c r="D30" s="13">
        <v>1100</v>
      </c>
      <c r="E30" s="13" t="s">
        <v>596</v>
      </c>
      <c r="F30" s="12" t="s">
        <v>1021</v>
      </c>
      <c r="G30" s="12" t="s">
        <v>1022</v>
      </c>
      <c r="H30" s="8"/>
    </row>
    <row r="31" spans="1:8" ht="23.1" customHeight="1">
      <c r="A31" s="8"/>
      <c r="B31" s="12" t="s">
        <v>662</v>
      </c>
      <c r="C31" s="12" t="s">
        <v>655</v>
      </c>
      <c r="D31" s="13">
        <v>1100</v>
      </c>
      <c r="E31" s="13" t="s">
        <v>264</v>
      </c>
      <c r="F31" s="12" t="s">
        <v>1023</v>
      </c>
      <c r="G31" s="12" t="s">
        <v>1024</v>
      </c>
      <c r="H31" s="8"/>
    </row>
    <row r="32" spans="1:8" ht="23.1" customHeight="1">
      <c r="A32" s="8"/>
      <c r="B32" s="12" t="s">
        <v>662</v>
      </c>
      <c r="C32" s="12" t="s">
        <v>664</v>
      </c>
      <c r="D32" s="13">
        <v>800</v>
      </c>
      <c r="E32" s="13" t="s">
        <v>596</v>
      </c>
      <c r="F32" s="12" t="s">
        <v>1025</v>
      </c>
      <c r="G32" s="12" t="s">
        <v>1026</v>
      </c>
      <c r="H32" s="8"/>
    </row>
    <row r="33" spans="1:8" ht="23.1" customHeight="1">
      <c r="A33" s="8"/>
      <c r="B33" s="12" t="s">
        <v>662</v>
      </c>
      <c r="C33" s="12" t="s">
        <v>664</v>
      </c>
      <c r="D33" s="13">
        <v>800</v>
      </c>
      <c r="E33" s="13" t="s">
        <v>264</v>
      </c>
      <c r="F33" s="12" t="s">
        <v>1027</v>
      </c>
      <c r="G33" s="12" t="s">
        <v>1028</v>
      </c>
      <c r="H33" s="8"/>
    </row>
    <row r="34" spans="1:8" ht="23.1" customHeight="1">
      <c r="A34" s="8"/>
      <c r="B34" s="12" t="s">
        <v>662</v>
      </c>
      <c r="C34" s="12" t="s">
        <v>664</v>
      </c>
      <c r="D34" s="13">
        <v>900</v>
      </c>
      <c r="E34" s="13" t="s">
        <v>596</v>
      </c>
      <c r="F34" s="12" t="s">
        <v>1029</v>
      </c>
      <c r="G34" s="12" t="s">
        <v>1030</v>
      </c>
      <c r="H34" s="8"/>
    </row>
    <row r="35" spans="1:8" ht="23.1" customHeight="1">
      <c r="A35" s="8"/>
      <c r="B35" s="12" t="s">
        <v>662</v>
      </c>
      <c r="C35" s="12" t="s">
        <v>664</v>
      </c>
      <c r="D35" s="13">
        <v>900</v>
      </c>
      <c r="E35" s="13" t="s">
        <v>264</v>
      </c>
      <c r="F35" s="12" t="s">
        <v>1031</v>
      </c>
      <c r="G35" s="12" t="s">
        <v>1032</v>
      </c>
      <c r="H35" s="8"/>
    </row>
    <row r="36" spans="1:8" ht="23.1" customHeight="1">
      <c r="A36" s="8"/>
      <c r="B36" s="12" t="s">
        <v>662</v>
      </c>
      <c r="C36" s="12" t="s">
        <v>665</v>
      </c>
      <c r="D36" s="13">
        <v>1100</v>
      </c>
      <c r="E36" s="13" t="s">
        <v>596</v>
      </c>
      <c r="F36" s="12" t="s">
        <v>1033</v>
      </c>
      <c r="G36" s="12" t="s">
        <v>1022</v>
      </c>
      <c r="H36" s="8"/>
    </row>
    <row r="37" spans="1:8" ht="23.1" customHeight="1">
      <c r="A37" s="8"/>
      <c r="B37" s="12" t="s">
        <v>662</v>
      </c>
      <c r="C37" s="12" t="s">
        <v>665</v>
      </c>
      <c r="D37" s="13">
        <v>1100</v>
      </c>
      <c r="E37" s="13" t="s">
        <v>264</v>
      </c>
      <c r="F37" s="12" t="s">
        <v>1034</v>
      </c>
      <c r="G37" s="12" t="s">
        <v>1024</v>
      </c>
      <c r="H37" s="8"/>
    </row>
    <row r="38" spans="1:8" ht="23.1" customHeight="1">
      <c r="A38" s="8"/>
      <c r="B38" s="12" t="s">
        <v>662</v>
      </c>
      <c r="C38" s="12" t="s">
        <v>665</v>
      </c>
      <c r="D38" s="13">
        <v>1200</v>
      </c>
      <c r="E38" s="13" t="s">
        <v>596</v>
      </c>
      <c r="F38" s="12" t="s">
        <v>1035</v>
      </c>
      <c r="G38" s="12" t="s">
        <v>1022</v>
      </c>
      <c r="H38" s="8"/>
    </row>
    <row r="39" spans="1:8" ht="23.1" customHeight="1">
      <c r="A39" s="8"/>
      <c r="B39" s="12" t="s">
        <v>662</v>
      </c>
      <c r="C39" s="12" t="s">
        <v>665</v>
      </c>
      <c r="D39" s="13">
        <v>1200</v>
      </c>
      <c r="E39" s="13" t="s">
        <v>264</v>
      </c>
      <c r="F39" s="12" t="s">
        <v>1036</v>
      </c>
      <c r="G39" s="12" t="s">
        <v>1024</v>
      </c>
      <c r="H39" s="8"/>
    </row>
    <row r="40" spans="1:8" ht="23.1" customHeight="1">
      <c r="A40" s="8"/>
      <c r="B40" s="8"/>
      <c r="C40" s="8"/>
      <c r="D40" s="8"/>
      <c r="E40" s="8"/>
      <c r="F40" s="8"/>
      <c r="G40" s="8"/>
      <c r="H40" s="8"/>
    </row>
    <row r="41" spans="1:8" ht="24.95" customHeight="1">
      <c r="A41" s="8"/>
      <c r="B41" s="137" t="s">
        <v>1037</v>
      </c>
      <c r="C41" s="137"/>
      <c r="D41" s="137"/>
      <c r="E41" s="137"/>
      <c r="F41" s="137"/>
      <c r="G41" s="137"/>
      <c r="H41" s="8"/>
    </row>
    <row r="42" spans="1:8" ht="30" customHeight="1">
      <c r="A42" s="8"/>
      <c r="B42" s="5" t="s">
        <v>1060</v>
      </c>
      <c r="C42" s="132"/>
      <c r="D42" s="132"/>
      <c r="E42" s="132"/>
      <c r="F42" s="132"/>
      <c r="G42" s="132"/>
      <c r="H42" s="8"/>
    </row>
    <row r="43" spans="1:8" ht="30" customHeight="1">
      <c r="A43" s="8"/>
      <c r="B43" s="132"/>
      <c r="C43" s="132"/>
      <c r="D43" s="132"/>
      <c r="E43" s="132"/>
      <c r="F43" s="132"/>
      <c r="G43" s="132"/>
      <c r="H43" s="8"/>
    </row>
    <row r="44" spans="1:8" ht="30" customHeight="1">
      <c r="A44" s="8"/>
      <c r="B44" s="5" t="s">
        <v>1061</v>
      </c>
      <c r="C44" s="132"/>
      <c r="D44" s="132"/>
      <c r="E44" s="132"/>
      <c r="F44" s="132"/>
      <c r="G44" s="132"/>
      <c r="H44" s="8"/>
    </row>
    <row r="45" spans="1:8" ht="30" customHeight="1">
      <c r="A45" s="8"/>
      <c r="B45" s="132"/>
      <c r="C45" s="132"/>
      <c r="D45" s="132"/>
      <c r="E45" s="132"/>
      <c r="F45" s="132"/>
      <c r="G45" s="132"/>
      <c r="H45" s="8"/>
    </row>
    <row r="46" spans="1:8" ht="23.1" customHeight="1">
      <c r="A46" s="8"/>
      <c r="B46" s="8"/>
      <c r="C46" s="8"/>
      <c r="D46" s="8"/>
      <c r="E46" s="8"/>
      <c r="F46" s="8"/>
      <c r="G46" s="8"/>
      <c r="H46" s="8"/>
    </row>
    <row r="47" spans="1:8" ht="23.1" customHeight="1">
      <c r="A47" s="8"/>
      <c r="B47" s="135" t="s">
        <v>1038</v>
      </c>
      <c r="C47" s="135"/>
      <c r="D47" s="135"/>
      <c r="E47" s="135"/>
      <c r="F47" s="135"/>
      <c r="G47" s="135"/>
      <c r="H47" s="8"/>
    </row>
  </sheetData>
  <sheetProtection sheet="1" objects="1" scenarios="1"/>
  <mergeCells count="28">
    <mergeCell ref="B47:G47"/>
    <mergeCell ref="C24:G24"/>
    <mergeCell ref="B26:G26"/>
    <mergeCell ref="B41:G41"/>
    <mergeCell ref="B42:G43"/>
    <mergeCell ref="B44:G45"/>
    <mergeCell ref="C19:G19"/>
    <mergeCell ref="C20:G20"/>
    <mergeCell ref="C21:G21"/>
    <mergeCell ref="C22:G22"/>
    <mergeCell ref="C23:G23"/>
    <mergeCell ref="B14:D14"/>
    <mergeCell ref="E14:G14"/>
    <mergeCell ref="B16:G16"/>
    <mergeCell ref="C17:G17"/>
    <mergeCell ref="C18:G18"/>
    <mergeCell ref="C9:D9"/>
    <mergeCell ref="F9:G9"/>
    <mergeCell ref="C10:G10"/>
    <mergeCell ref="B12:G12"/>
    <mergeCell ref="B13:D13"/>
    <mergeCell ref="E13:G13"/>
    <mergeCell ref="B2:G2"/>
    <mergeCell ref="B3:G3"/>
    <mergeCell ref="B4:G5"/>
    <mergeCell ref="B7:G7"/>
    <mergeCell ref="C8:D8"/>
    <mergeCell ref="F8:G8"/>
  </mergeCells>
  <phoneticPr fontId="155"/>
  <hyperlinks>
    <hyperlink ref="B13" location="'帳票基本入力'!C5" display="1. 帳票基本入力を設定" xr:uid="{CA94C37C-EBD9-477D-8D4D-9AC1E68271DA}"/>
    <hyperlink ref="E13" location="'塔内機器_入力①'!B14" display="2. 機種・寸法・階高を入力" xr:uid="{9187C50F-CC8D-4B78-90CC-B3001277D37F}"/>
    <hyperlink ref="B14" location="'塔内機器_出力①'!B2" display="3. 出力①・②を確認" xr:uid="{5C682575-C420-4665-9152-DCE01E98752C}"/>
    <hyperlink ref="E14" location="'塔内機器_出力③'!B2" display="4. 出力③の部品を確認" xr:uid="{42E9145C-7BE9-48CA-9BF9-EB63971BD0C1}"/>
  </hyperlinks>
  <printOptions horizontalCentered="1"/>
  <pageMargins left="0.27777777777777779" right="0.27777777777777779" top="0.34722222222222221" bottom="0.34722222222222221" header="0.3" footer="0.3"/>
  <pageSetup paperSize="9" scale="66" orientation="portrait" r:id="rId1"/>
  <headerFooter>
    <oddFooter>&amp;C推定補完版 v1 / 推定値は要照合&amp;R&amp;P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3"/>
  <sheetViews>
    <sheetView showGridLines="0" tabSelected="1" zoomScaleNormal="100" workbookViewId="0">
      <selection activeCell="C5" sqref="C5:E5"/>
    </sheetView>
  </sheetViews>
  <sheetFormatPr defaultRowHeight="14.25"/>
  <cols>
    <col min="1" max="1" width="3" customWidth="1"/>
    <col min="2" max="2" width="23" customWidth="1"/>
    <col min="3" max="5" width="19" customWidth="1"/>
    <col min="6" max="6" width="3" customWidth="1"/>
  </cols>
  <sheetData>
    <row r="1" spans="1:6" ht="27" customHeight="1">
      <c r="A1" s="113"/>
      <c r="B1" s="113"/>
      <c r="C1" s="113"/>
      <c r="D1" s="113"/>
      <c r="E1" s="113"/>
      <c r="F1" s="113"/>
    </row>
    <row r="2" spans="1:6" ht="36.950000000000003" customHeight="1">
      <c r="A2" s="113"/>
      <c r="B2" s="1" t="s">
        <v>2269</v>
      </c>
      <c r="C2" s="1"/>
      <c r="D2" s="1"/>
      <c r="E2" s="1"/>
      <c r="F2" s="113"/>
    </row>
    <row r="3" spans="1:6" ht="27" customHeight="1">
      <c r="A3" s="113"/>
      <c r="B3" s="5" t="s">
        <v>2270</v>
      </c>
      <c r="C3" s="5"/>
      <c r="D3" s="5"/>
      <c r="E3" s="5"/>
      <c r="F3" s="113"/>
    </row>
    <row r="4" spans="1:6" ht="27" customHeight="1">
      <c r="A4" s="113"/>
      <c r="B4" s="113"/>
      <c r="C4" s="113"/>
      <c r="D4" s="113"/>
      <c r="E4" s="113"/>
      <c r="F4" s="113"/>
    </row>
    <row r="5" spans="1:6" ht="32.1" customHeight="1">
      <c r="A5" s="113"/>
      <c r="B5" s="113" t="s">
        <v>51</v>
      </c>
      <c r="C5" s="4" t="s">
        <v>52</v>
      </c>
      <c r="D5" s="3"/>
      <c r="E5" s="2"/>
      <c r="F5" s="113"/>
    </row>
    <row r="6" spans="1:6" ht="32.1" customHeight="1">
      <c r="A6" s="113"/>
      <c r="B6" s="113" t="s">
        <v>2271</v>
      </c>
      <c r="C6" s="4" t="s">
        <v>58</v>
      </c>
      <c r="D6" s="3"/>
      <c r="E6" s="2"/>
      <c r="F6" s="113"/>
    </row>
    <row r="7" spans="1:6" ht="32.1" customHeight="1">
      <c r="A7" s="113"/>
      <c r="B7" s="113" t="s">
        <v>2272</v>
      </c>
      <c r="C7" s="4" t="s">
        <v>2273</v>
      </c>
      <c r="D7" s="3"/>
      <c r="E7" s="2"/>
      <c r="F7" s="113"/>
    </row>
    <row r="8" spans="1:6" ht="32.1" customHeight="1">
      <c r="A8" s="113"/>
      <c r="B8" s="113" t="s">
        <v>2274</v>
      </c>
      <c r="C8" s="4" t="s">
        <v>598</v>
      </c>
      <c r="D8" s="3"/>
      <c r="E8" s="2"/>
      <c r="F8" s="113"/>
    </row>
    <row r="9" spans="1:6" ht="32.1" customHeight="1">
      <c r="A9" s="113"/>
      <c r="B9" s="113" t="s">
        <v>2275</v>
      </c>
      <c r="C9" s="4">
        <v>3080</v>
      </c>
      <c r="D9" s="3"/>
      <c r="E9" s="2"/>
      <c r="F9" s="113"/>
    </row>
    <row r="10" spans="1:6" ht="27" customHeight="1">
      <c r="A10" s="113"/>
      <c r="B10" s="113"/>
      <c r="C10" s="113"/>
      <c r="D10" s="113"/>
      <c r="E10" s="113"/>
      <c r="F10" s="113"/>
    </row>
    <row r="11" spans="1:6" ht="27" customHeight="1">
      <c r="A11" s="113"/>
      <c r="B11" s="3" t="s">
        <v>2276</v>
      </c>
      <c r="C11" s="7"/>
      <c r="D11" s="7"/>
      <c r="E11" s="7"/>
      <c r="F11" s="113"/>
    </row>
    <row r="12" spans="1:6" ht="27" customHeight="1">
      <c r="A12" s="113"/>
      <c r="B12" s="7" t="str">
        <f>塔内機器_計算用シート!Y16</f>
        <v>入力条件成立</v>
      </c>
      <c r="C12" s="7"/>
      <c r="D12" s="7"/>
      <c r="E12" s="7"/>
      <c r="F12" s="113"/>
    </row>
    <row r="13" spans="1:6" ht="27" customHeight="1">
      <c r="A13" s="113"/>
      <c r="B13" s="7"/>
      <c r="C13" s="7"/>
      <c r="D13" s="7"/>
      <c r="E13" s="7"/>
      <c r="F13" s="113"/>
    </row>
    <row r="14" spans="1:6" ht="27" customHeight="1">
      <c r="A14" s="113"/>
      <c r="B14" s="113"/>
      <c r="C14" s="113"/>
      <c r="D14" s="113"/>
      <c r="E14" s="113"/>
      <c r="F14" s="113"/>
    </row>
    <row r="15" spans="1:6" ht="27" customHeight="1">
      <c r="A15" s="113"/>
      <c r="B15" s="7" t="s">
        <v>2277</v>
      </c>
      <c r="C15" s="7"/>
      <c r="D15" s="7"/>
      <c r="E15" s="7"/>
      <c r="F15" s="113"/>
    </row>
    <row r="16" spans="1:6" ht="27" customHeight="1">
      <c r="A16" s="113"/>
      <c r="B16" s="7" t="str">
        <f>塔内機器_計算用シート!Y18</f>
        <v>参照範囲内（設計妥当性は要照合）</v>
      </c>
      <c r="C16" s="7"/>
      <c r="D16" s="7"/>
      <c r="E16" s="7"/>
      <c r="F16" s="113"/>
    </row>
    <row r="17" spans="1:6" ht="27" customHeight="1">
      <c r="A17" s="113"/>
      <c r="B17" s="7"/>
      <c r="C17" s="7"/>
      <c r="D17" s="7"/>
      <c r="E17" s="7"/>
      <c r="F17" s="113"/>
    </row>
    <row r="18" spans="1:6" ht="27" customHeight="1">
      <c r="A18" s="113"/>
      <c r="B18" s="113"/>
      <c r="C18" s="113"/>
      <c r="D18" s="113"/>
      <c r="E18" s="113"/>
      <c r="F18" s="113"/>
    </row>
    <row r="19" spans="1:6" ht="27" customHeight="1">
      <c r="A19" s="113"/>
      <c r="B19" s="6" t="s">
        <v>2278</v>
      </c>
      <c r="C19" s="6"/>
      <c r="D19" s="6"/>
      <c r="E19" s="6"/>
      <c r="F19" s="113"/>
    </row>
    <row r="20" spans="1:6" ht="27" customHeight="1">
      <c r="A20" s="113"/>
      <c r="B20" s="6"/>
      <c r="C20" s="6"/>
      <c r="D20" s="6"/>
      <c r="E20" s="6"/>
      <c r="F20" s="113"/>
    </row>
    <row r="21" spans="1:6" ht="27" customHeight="1">
      <c r="A21" s="113"/>
      <c r="B21" s="6"/>
      <c r="C21" s="6"/>
      <c r="D21" s="6"/>
      <c r="E21" s="6"/>
      <c r="F21" s="113"/>
    </row>
    <row r="22" spans="1:6" ht="27" customHeight="1">
      <c r="A22" s="113"/>
      <c r="B22" s="113"/>
      <c r="C22" s="113"/>
      <c r="D22" s="113"/>
      <c r="E22" s="113"/>
      <c r="F22" s="113"/>
    </row>
    <row r="23" spans="1:6" ht="27" customHeight="1">
      <c r="A23" s="113"/>
      <c r="B23" s="5" t="str">
        <f>CONCATENATE(塔内機器_計算用シート!AH42," / 2026-09-24　境界条件修正")</f>
        <v>v4 / 2026-09-24　境界条件修正</v>
      </c>
      <c r="C23" s="5"/>
      <c r="D23" s="5"/>
      <c r="E23" s="5"/>
      <c r="F23" s="113"/>
    </row>
  </sheetData>
  <sheetProtection sheet="1" objects="1" scenarios="1"/>
  <mergeCells count="13">
    <mergeCell ref="B2:E2"/>
    <mergeCell ref="B3:E3"/>
    <mergeCell ref="C5:E5"/>
    <mergeCell ref="C6:E6"/>
    <mergeCell ref="C7:E7"/>
    <mergeCell ref="B16:E17"/>
    <mergeCell ref="B19:E21"/>
    <mergeCell ref="B23:E23"/>
    <mergeCell ref="C8:E8"/>
    <mergeCell ref="C9:E9"/>
    <mergeCell ref="B11:E11"/>
    <mergeCell ref="B12:E13"/>
    <mergeCell ref="B15:E15"/>
  </mergeCells>
  <phoneticPr fontId="155"/>
  <dataValidations count="4">
    <dataValidation type="list" showInputMessage="1" showErrorMessage="1" errorTitle="入力候補を確認" error="候補から選択してください。" sqref="C5" xr:uid="{DC374E08-8AC5-40BC-8967-E804D0D65776}">
      <formula1>補完_階床候補</formula1>
    </dataValidation>
    <dataValidation type="list" showInputMessage="1" showErrorMessage="1" errorTitle="入力候補を確認" error="候補から選択してください。" sqref="C7" xr:uid="{16FE1953-9118-4451-A06F-D26F3C253837}">
      <formula1>"Cwtｾﾌﾃｨ付,Cwtｾﾌﾃｨなし"</formula1>
    </dataValidation>
    <dataValidation type="list" showInputMessage="1" showErrorMessage="1" errorTitle="入力候補を確認" error="候補から選択してください。" sqref="C8" xr:uid="{13AF807A-4528-4DAA-AB88-FCF8D0E9D9D3}">
      <formula1>"後落ち,横落ち"</formula1>
    </dataValidation>
    <dataValidation type="whole" showInputMessage="1" showErrorMessage="1" errorTitle="寸法を確認" error="指定範囲内の整数を入力してください。貼り付けによる不備も状態欄で検出します。" promptTitle="整数 mm" prompt="使用する階高は正の整数。未使用欄は空欄にします。" sqref="C9" xr:uid="{00A1ABFF-9A4B-4A1A-A3B5-6F8F037E2EF1}">
      <formula1>1</formula1>
      <formula2>90000</formula2>
    </dataValidation>
  </dataValidations>
  <printOptions horizontalCentered="1"/>
  <pageMargins left="0.27777777777777779" right="0.27777777777777779" top="0.34722222222222221" bottom="0.34722222222222221" header="0.3" footer="0.3"/>
  <pageSetup paperSize="9" orientation="portrait" r:id="rId1"/>
  <headerFooter>
    <oddFooter>&amp;R&amp;P / &amp;N&amp;Cv4 / 2026-09-24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2"/>
  <sheetViews>
    <sheetView zoomScale="130" zoomScaleNormal="130" workbookViewId="0">
      <selection sqref="A1:E3"/>
    </sheetView>
  </sheetViews>
  <sheetFormatPr defaultColWidth="8.375" defaultRowHeight="14.25"/>
  <cols>
    <col min="1" max="1" width="4.875" customWidth="1"/>
    <col min="2" max="2" width="22.75" customWidth="1"/>
    <col min="3" max="3" width="17" customWidth="1"/>
    <col min="4" max="4" width="19.75" customWidth="1"/>
    <col min="5" max="5" width="12.5" customWidth="1"/>
    <col min="6" max="6" width="14" customWidth="1"/>
    <col min="7" max="7" width="6.125" customWidth="1"/>
    <col min="8" max="8" width="25" customWidth="1"/>
    <col min="9" max="9" width="11.875" customWidth="1"/>
    <col min="10" max="10" width="25.75" customWidth="1"/>
  </cols>
  <sheetData>
    <row r="1" spans="1:10" ht="13.5" customHeight="1">
      <c r="A1" s="138" t="s">
        <v>1062</v>
      </c>
      <c r="B1" s="139"/>
      <c r="C1" s="139"/>
      <c r="D1" s="139"/>
      <c r="E1" s="139"/>
    </row>
    <row r="2" spans="1:10" ht="13.5" customHeight="1">
      <c r="A2" s="139"/>
      <c r="B2" s="139"/>
      <c r="C2" s="139"/>
      <c r="D2" s="139"/>
      <c r="E2" s="139"/>
    </row>
    <row r="3" spans="1:10" ht="13.5" customHeight="1">
      <c r="A3" s="139"/>
      <c r="B3" s="139"/>
      <c r="C3" s="139"/>
      <c r="D3" s="139"/>
      <c r="E3" s="139"/>
      <c r="G3" s="15" t="str">
        <f>MID(E12,15,5)</f>
        <v/>
      </c>
    </row>
    <row r="4" spans="1:10" ht="13.5" customHeight="1">
      <c r="A4" s="140" t="s">
        <v>0</v>
      </c>
      <c r="B4" s="139"/>
      <c r="C4" s="139"/>
      <c r="D4" s="139"/>
      <c r="E4" s="139"/>
      <c r="F4" s="139"/>
      <c r="G4" s="139"/>
      <c r="H4" s="139"/>
      <c r="I4" s="139"/>
      <c r="J4" s="139"/>
    </row>
    <row r="5" spans="1:10" ht="14.25" customHeight="1">
      <c r="A5" s="16" t="s">
        <v>1</v>
      </c>
      <c r="B5" s="141" t="s">
        <v>2</v>
      </c>
      <c r="C5" s="139"/>
      <c r="D5" s="139"/>
      <c r="E5" s="17" t="s">
        <v>3</v>
      </c>
      <c r="F5" s="16" t="s">
        <v>1</v>
      </c>
      <c r="G5" s="141" t="s">
        <v>2</v>
      </c>
      <c r="H5" s="139"/>
      <c r="I5" s="139"/>
      <c r="J5" s="17" t="s">
        <v>3</v>
      </c>
    </row>
    <row r="6" spans="1:10" ht="14.25" customHeight="1">
      <c r="A6" s="18">
        <v>0</v>
      </c>
      <c r="B6" s="142" t="s">
        <v>4</v>
      </c>
      <c r="C6" s="139"/>
      <c r="D6" s="139"/>
      <c r="F6" s="18">
        <v>16</v>
      </c>
      <c r="G6" s="142" t="s">
        <v>5</v>
      </c>
      <c r="H6" s="139"/>
      <c r="I6" s="139"/>
    </row>
    <row r="7" spans="1:10" ht="13.5" customHeight="1">
      <c r="A7" s="19">
        <v>1</v>
      </c>
      <c r="B7" s="143" t="s">
        <v>6</v>
      </c>
      <c r="C7" s="139"/>
      <c r="D7" s="139"/>
      <c r="F7" s="19">
        <v>17</v>
      </c>
      <c r="G7" s="143" t="s">
        <v>7</v>
      </c>
      <c r="H7" s="139"/>
      <c r="I7" s="139"/>
    </row>
    <row r="8" spans="1:10" ht="13.5" customHeight="1">
      <c r="A8" s="19">
        <v>2</v>
      </c>
      <c r="B8" s="143" t="s">
        <v>8</v>
      </c>
      <c r="C8" s="139"/>
      <c r="D8" s="139"/>
      <c r="F8" s="19">
        <v>18</v>
      </c>
      <c r="G8" s="143" t="s">
        <v>9</v>
      </c>
      <c r="H8" s="139"/>
      <c r="I8" s="139"/>
    </row>
    <row r="9" spans="1:10" ht="13.5" customHeight="1">
      <c r="A9" s="19">
        <v>3</v>
      </c>
      <c r="B9" s="144" t="s">
        <v>10</v>
      </c>
      <c r="C9" s="139"/>
      <c r="D9" s="139"/>
      <c r="E9" s="21" t="str">
        <f>CONCATENATE(E10,E11,"/",E12,"/",E13,"/",E14,"/",E15)</f>
        <v>新設・改販///_/</v>
      </c>
      <c r="F9" s="19">
        <v>19</v>
      </c>
      <c r="G9" s="143" t="s">
        <v>11</v>
      </c>
      <c r="H9" s="139"/>
      <c r="I9" s="139"/>
    </row>
    <row r="10" spans="1:10" ht="13.5" customHeight="1">
      <c r="A10" s="19">
        <v>4</v>
      </c>
      <c r="B10" s="144" t="s">
        <v>12</v>
      </c>
      <c r="C10" s="139"/>
      <c r="D10" s="139"/>
      <c r="F10" s="19">
        <v>20</v>
      </c>
      <c r="G10" s="143" t="s">
        <v>13</v>
      </c>
      <c r="H10" s="139"/>
      <c r="I10" s="139"/>
    </row>
    <row r="11" spans="1:10" ht="13.5" customHeight="1">
      <c r="A11" s="19">
        <v>5</v>
      </c>
      <c r="B11" s="144" t="s">
        <v>14</v>
      </c>
      <c r="C11" s="139"/>
      <c r="D11" s="139"/>
      <c r="E11" s="21" t="str">
        <f>"新設・改販"</f>
        <v>新設・改販</v>
      </c>
      <c r="F11" s="19">
        <v>21</v>
      </c>
      <c r="G11" s="143" t="s">
        <v>15</v>
      </c>
      <c r="H11" s="139"/>
      <c r="I11" s="139"/>
    </row>
    <row r="12" spans="1:10" ht="13.5" customHeight="1">
      <c r="A12" s="19">
        <v>6</v>
      </c>
      <c r="B12" s="143" t="s">
        <v>16</v>
      </c>
      <c r="C12" s="139"/>
      <c r="D12" s="139"/>
      <c r="F12" s="19">
        <v>22</v>
      </c>
      <c r="G12" s="143" t="s">
        <v>17</v>
      </c>
      <c r="H12" s="139"/>
      <c r="I12" s="139"/>
    </row>
    <row r="13" spans="1:10" ht="13.5" customHeight="1">
      <c r="A13" s="19">
        <v>7</v>
      </c>
      <c r="B13" s="143" t="s">
        <v>18</v>
      </c>
      <c r="C13" s="139"/>
      <c r="D13" s="139"/>
      <c r="F13" s="19">
        <v>23</v>
      </c>
      <c r="G13" s="143" t="s">
        <v>19</v>
      </c>
      <c r="H13" s="139"/>
      <c r="I13" s="139"/>
    </row>
    <row r="14" spans="1:10" ht="14.25" customHeight="1">
      <c r="A14" s="19">
        <v>8</v>
      </c>
      <c r="B14" s="144" t="s">
        <v>20</v>
      </c>
      <c r="C14" s="139"/>
      <c r="D14" s="139"/>
      <c r="E14" s="21" t="str">
        <f>CONCATENATE(E6,"_",J15)</f>
        <v>_</v>
      </c>
      <c r="F14" s="19">
        <v>24</v>
      </c>
      <c r="G14" s="143" t="s">
        <v>21</v>
      </c>
      <c r="H14" s="139"/>
      <c r="I14" s="139"/>
    </row>
    <row r="15" spans="1:10" ht="13.5" customHeight="1">
      <c r="A15" s="19">
        <v>9</v>
      </c>
      <c r="B15" s="144" t="s">
        <v>22</v>
      </c>
      <c r="C15" s="139"/>
      <c r="D15" s="139"/>
      <c r="E15" s="21" t="str">
        <f>IF(J7&lt;&gt;"",J7,"")</f>
        <v/>
      </c>
      <c r="F15" s="19">
        <v>25</v>
      </c>
      <c r="G15" s="143" t="s">
        <v>23</v>
      </c>
      <c r="H15" s="139"/>
      <c r="I15" s="139"/>
    </row>
    <row r="16" spans="1:10" ht="14.25" customHeight="1">
      <c r="A16" s="19">
        <v>10</v>
      </c>
      <c r="B16" s="143" t="s">
        <v>24</v>
      </c>
      <c r="C16" s="139"/>
      <c r="D16" s="139"/>
      <c r="F16" s="19">
        <v>26</v>
      </c>
      <c r="G16" s="143" t="s">
        <v>25</v>
      </c>
      <c r="H16" s="139"/>
      <c r="I16" s="139"/>
    </row>
    <row r="17" spans="1:10" ht="13.5" customHeight="1">
      <c r="A17" s="19">
        <v>11</v>
      </c>
      <c r="B17" s="143" t="s">
        <v>26</v>
      </c>
      <c r="C17" s="139"/>
      <c r="D17" s="139"/>
      <c r="F17" s="19">
        <v>27</v>
      </c>
      <c r="G17" s="143" t="s">
        <v>27</v>
      </c>
      <c r="H17" s="139"/>
      <c r="I17" s="139"/>
    </row>
    <row r="18" spans="1:10" ht="13.5" customHeight="1">
      <c r="A18" s="19">
        <v>12</v>
      </c>
      <c r="B18" s="22" t="s">
        <v>28</v>
      </c>
      <c r="F18" s="19">
        <v>28</v>
      </c>
      <c r="G18" s="143" t="s">
        <v>29</v>
      </c>
      <c r="H18" s="139"/>
      <c r="I18" s="139"/>
    </row>
    <row r="19" spans="1:10" ht="13.5" customHeight="1">
      <c r="A19" s="19">
        <v>13</v>
      </c>
      <c r="B19" s="143" t="s">
        <v>30</v>
      </c>
      <c r="C19" s="139"/>
      <c r="D19" s="139"/>
      <c r="F19" s="19">
        <v>29</v>
      </c>
      <c r="G19" s="143" t="s">
        <v>31</v>
      </c>
      <c r="H19" s="139"/>
      <c r="I19" s="139"/>
    </row>
    <row r="20" spans="1:10" ht="13.5" customHeight="1">
      <c r="A20" s="19">
        <v>14</v>
      </c>
      <c r="B20" s="143" t="s">
        <v>32</v>
      </c>
      <c r="C20" s="139"/>
      <c r="D20" s="139"/>
      <c r="F20" s="19">
        <v>30</v>
      </c>
      <c r="G20" s="143" t="s">
        <v>33</v>
      </c>
      <c r="H20" s="139"/>
      <c r="I20" s="139"/>
    </row>
    <row r="21" spans="1:10" ht="14.25" customHeight="1">
      <c r="A21" s="23">
        <v>15</v>
      </c>
      <c r="B21" s="145" t="s">
        <v>34</v>
      </c>
      <c r="C21" s="139"/>
      <c r="D21" s="139"/>
      <c r="F21" s="23">
        <v>31</v>
      </c>
      <c r="G21" s="145" t="s">
        <v>35</v>
      </c>
      <c r="H21" s="139"/>
      <c r="I21" s="139"/>
    </row>
    <row r="22" spans="1:10" ht="17.25" customHeight="1"/>
    <row r="23" spans="1:10" ht="14.25" customHeight="1">
      <c r="A23" s="140" t="s">
        <v>36</v>
      </c>
      <c r="B23" s="139"/>
      <c r="C23" s="139"/>
      <c r="D23" s="139"/>
      <c r="E23" s="139"/>
      <c r="F23" s="139"/>
      <c r="G23" s="139"/>
      <c r="H23" s="139"/>
      <c r="I23" s="139"/>
      <c r="J23" s="139"/>
    </row>
    <row r="24" spans="1:10" ht="14.25" customHeight="1">
      <c r="A24" s="16" t="s">
        <v>1</v>
      </c>
      <c r="B24" s="141" t="s">
        <v>2</v>
      </c>
      <c r="C24" s="139"/>
      <c r="D24" s="139"/>
      <c r="E24" s="17" t="s">
        <v>3</v>
      </c>
      <c r="F24" s="16" t="s">
        <v>1</v>
      </c>
      <c r="G24" s="141" t="s">
        <v>2</v>
      </c>
      <c r="H24" s="139"/>
      <c r="I24" s="139"/>
      <c r="J24" s="17" t="s">
        <v>3</v>
      </c>
    </row>
    <row r="25" spans="1:10" ht="15" customHeight="1">
      <c r="A25" s="146" t="s">
        <v>37</v>
      </c>
      <c r="B25" s="139"/>
      <c r="C25" s="139"/>
      <c r="D25" s="139"/>
      <c r="E25" s="139"/>
      <c r="F25" s="139"/>
      <c r="G25" s="139"/>
      <c r="H25" s="139"/>
      <c r="I25" s="139"/>
      <c r="J25" s="139"/>
    </row>
    <row r="26" spans="1:10" ht="13.5" customHeight="1">
      <c r="A26" s="24">
        <v>32</v>
      </c>
      <c r="B26" s="25" t="s">
        <v>38</v>
      </c>
      <c r="C26" s="26" t="s">
        <v>39</v>
      </c>
      <c r="D26" s="27" t="s">
        <v>39</v>
      </c>
      <c r="F26" s="24">
        <v>37</v>
      </c>
      <c r="G26" s="25" t="s">
        <v>40</v>
      </c>
      <c r="H26" s="26" t="s">
        <v>39</v>
      </c>
      <c r="I26" s="27" t="s">
        <v>39</v>
      </c>
    </row>
    <row r="27" spans="1:10" ht="13.5" customHeight="1">
      <c r="A27" s="19">
        <v>33</v>
      </c>
      <c r="B27" s="28" t="s">
        <v>41</v>
      </c>
      <c r="C27" s="29" t="s">
        <v>39</v>
      </c>
      <c r="D27" s="30" t="s">
        <v>39</v>
      </c>
      <c r="F27" s="19">
        <v>38</v>
      </c>
      <c r="G27" s="28" t="s">
        <v>42</v>
      </c>
      <c r="H27" s="29" t="s">
        <v>39</v>
      </c>
      <c r="I27" s="30" t="s">
        <v>39</v>
      </c>
    </row>
    <row r="28" spans="1:10" ht="13.5" customHeight="1">
      <c r="A28" s="19">
        <v>34</v>
      </c>
      <c r="B28" s="28" t="s">
        <v>43</v>
      </c>
      <c r="C28" s="29" t="s">
        <v>39</v>
      </c>
      <c r="D28" s="30" t="s">
        <v>39</v>
      </c>
      <c r="F28" s="19">
        <v>39</v>
      </c>
      <c r="G28" s="28" t="s">
        <v>44</v>
      </c>
      <c r="H28" s="29" t="s">
        <v>39</v>
      </c>
      <c r="I28" s="30" t="s">
        <v>39</v>
      </c>
    </row>
    <row r="29" spans="1:10" ht="13.5" customHeight="1">
      <c r="A29" s="19">
        <v>35</v>
      </c>
      <c r="B29" s="28" t="s">
        <v>45</v>
      </c>
      <c r="C29" s="29" t="s">
        <v>39</v>
      </c>
      <c r="D29" s="30" t="s">
        <v>39</v>
      </c>
      <c r="F29" s="19">
        <v>40</v>
      </c>
      <c r="G29" s="28" t="s">
        <v>46</v>
      </c>
      <c r="H29" s="29" t="s">
        <v>39</v>
      </c>
      <c r="I29" s="30" t="s">
        <v>39</v>
      </c>
    </row>
    <row r="30" spans="1:10" ht="14.25" customHeight="1">
      <c r="A30" s="23">
        <v>36</v>
      </c>
      <c r="B30" s="31" t="s">
        <v>47</v>
      </c>
      <c r="C30" s="32" t="s">
        <v>39</v>
      </c>
      <c r="D30" s="33" t="s">
        <v>39</v>
      </c>
      <c r="F30" s="23">
        <v>41</v>
      </c>
      <c r="G30" s="31" t="s">
        <v>48</v>
      </c>
      <c r="H30" s="32" t="s">
        <v>39</v>
      </c>
      <c r="I30" s="33" t="s">
        <v>39</v>
      </c>
    </row>
    <row r="31" spans="1:10" ht="14.25" customHeight="1">
      <c r="A31" s="147" t="s">
        <v>49</v>
      </c>
      <c r="B31" s="139"/>
      <c r="C31" s="139"/>
      <c r="D31" s="139"/>
      <c r="E31" s="139"/>
      <c r="F31" s="139"/>
      <c r="G31" s="139"/>
      <c r="H31" s="139"/>
      <c r="I31" s="139"/>
      <c r="J31" s="139"/>
    </row>
    <row r="32" spans="1:10" ht="13.5" customHeight="1">
      <c r="A32" s="24">
        <v>42</v>
      </c>
      <c r="B32" s="25" t="s">
        <v>50</v>
      </c>
      <c r="C32" s="26" t="s">
        <v>39</v>
      </c>
      <c r="D32" s="27" t="s">
        <v>39</v>
      </c>
      <c r="F32" s="24">
        <v>54</v>
      </c>
      <c r="G32" s="25" t="s">
        <v>51</v>
      </c>
      <c r="H32" s="26" t="s">
        <v>39</v>
      </c>
      <c r="I32" s="27" t="s">
        <v>39</v>
      </c>
      <c r="J32" s="34" t="s">
        <v>1044</v>
      </c>
    </row>
    <row r="33" spans="1:10" ht="13.5" customHeight="1">
      <c r="A33" s="19">
        <v>43</v>
      </c>
      <c r="B33" s="28" t="s">
        <v>53</v>
      </c>
      <c r="C33" s="29" t="s">
        <v>39</v>
      </c>
      <c r="D33" s="30" t="s">
        <v>39</v>
      </c>
      <c r="F33" s="19">
        <v>55</v>
      </c>
      <c r="G33" s="28" t="s">
        <v>54</v>
      </c>
      <c r="H33" s="29" t="s">
        <v>39</v>
      </c>
      <c r="I33" s="30" t="s">
        <v>39</v>
      </c>
    </row>
    <row r="34" spans="1:10" ht="13.5" customHeight="1">
      <c r="A34" s="19">
        <v>44</v>
      </c>
      <c r="B34" s="28" t="s">
        <v>55</v>
      </c>
      <c r="C34" s="29" t="s">
        <v>39</v>
      </c>
      <c r="D34" s="30" t="s">
        <v>39</v>
      </c>
      <c r="F34" s="19">
        <v>56</v>
      </c>
      <c r="G34" s="28" t="s">
        <v>56</v>
      </c>
      <c r="H34" s="29" t="s">
        <v>39</v>
      </c>
      <c r="I34" s="30" t="s">
        <v>39</v>
      </c>
    </row>
    <row r="35" spans="1:10" ht="13.5" customHeight="1">
      <c r="A35" s="19">
        <v>45</v>
      </c>
      <c r="B35" s="28" t="s">
        <v>57</v>
      </c>
      <c r="C35" s="29" t="s">
        <v>39</v>
      </c>
      <c r="D35" s="30" t="s">
        <v>39</v>
      </c>
      <c r="E35" s="35" t="s">
        <v>58</v>
      </c>
      <c r="F35" s="19">
        <v>57</v>
      </c>
      <c r="G35" s="28" t="s">
        <v>59</v>
      </c>
      <c r="H35" s="29" t="s">
        <v>39</v>
      </c>
      <c r="I35" s="30" t="s">
        <v>39</v>
      </c>
    </row>
    <row r="36" spans="1:10" ht="13.5" customHeight="1">
      <c r="A36" s="19">
        <v>46</v>
      </c>
      <c r="B36" s="28" t="s">
        <v>60</v>
      </c>
      <c r="C36" s="29" t="s">
        <v>39</v>
      </c>
      <c r="D36" s="30" t="s">
        <v>39</v>
      </c>
      <c r="F36" s="19">
        <v>58</v>
      </c>
      <c r="G36" s="28" t="s">
        <v>61</v>
      </c>
      <c r="H36" s="29" t="s">
        <v>39</v>
      </c>
      <c r="I36" s="30" t="s">
        <v>39</v>
      </c>
    </row>
    <row r="37" spans="1:10" ht="13.5" customHeight="1">
      <c r="A37" s="19">
        <v>47</v>
      </c>
      <c r="B37" s="28" t="s">
        <v>62</v>
      </c>
      <c r="C37" s="29" t="s">
        <v>39</v>
      </c>
      <c r="D37" s="30" t="s">
        <v>39</v>
      </c>
      <c r="F37" s="19">
        <v>59</v>
      </c>
      <c r="G37" s="28" t="s">
        <v>63</v>
      </c>
      <c r="H37" s="29" t="s">
        <v>39</v>
      </c>
      <c r="I37" s="30" t="s">
        <v>39</v>
      </c>
    </row>
    <row r="38" spans="1:10" ht="13.5" customHeight="1">
      <c r="A38" s="19">
        <v>48</v>
      </c>
      <c r="B38" s="28" t="s">
        <v>64</v>
      </c>
      <c r="C38" s="29" t="s">
        <v>39</v>
      </c>
      <c r="D38" s="30" t="s">
        <v>39</v>
      </c>
      <c r="F38" s="19">
        <v>60</v>
      </c>
      <c r="G38" s="28" t="s">
        <v>65</v>
      </c>
      <c r="H38" s="29" t="s">
        <v>39</v>
      </c>
      <c r="I38" s="30" t="s">
        <v>39</v>
      </c>
    </row>
    <row r="39" spans="1:10" ht="13.5" customHeight="1">
      <c r="A39" s="19">
        <v>49</v>
      </c>
      <c r="B39" s="28" t="s">
        <v>66</v>
      </c>
      <c r="C39" s="29" t="s">
        <v>39</v>
      </c>
      <c r="D39" s="30" t="s">
        <v>39</v>
      </c>
      <c r="F39" s="19">
        <v>61</v>
      </c>
      <c r="G39" s="28" t="s">
        <v>29</v>
      </c>
      <c r="H39" s="29" t="s">
        <v>39</v>
      </c>
      <c r="I39" s="30" t="s">
        <v>39</v>
      </c>
    </row>
    <row r="40" spans="1:10" ht="13.5" customHeight="1">
      <c r="A40" s="19">
        <v>50</v>
      </c>
      <c r="B40" s="28" t="s">
        <v>67</v>
      </c>
      <c r="C40" s="29" t="s">
        <v>39</v>
      </c>
      <c r="D40" s="30" t="s">
        <v>39</v>
      </c>
      <c r="F40" s="19">
        <v>62</v>
      </c>
      <c r="G40" s="28" t="s">
        <v>31</v>
      </c>
      <c r="H40" s="29" t="s">
        <v>39</v>
      </c>
      <c r="I40" s="30" t="s">
        <v>39</v>
      </c>
    </row>
    <row r="41" spans="1:10" ht="13.5" customHeight="1">
      <c r="A41" s="19">
        <v>51</v>
      </c>
      <c r="B41" s="28" t="s">
        <v>68</v>
      </c>
      <c r="C41" s="29" t="s">
        <v>39</v>
      </c>
      <c r="D41" s="30" t="s">
        <v>39</v>
      </c>
      <c r="F41" s="19">
        <v>63</v>
      </c>
      <c r="G41" s="28" t="s">
        <v>33</v>
      </c>
      <c r="H41" s="29" t="s">
        <v>39</v>
      </c>
      <c r="I41" s="30" t="s">
        <v>39</v>
      </c>
    </row>
    <row r="42" spans="1:10" ht="13.5" customHeight="1">
      <c r="A42" s="19">
        <v>52</v>
      </c>
      <c r="B42" s="28" t="s">
        <v>69</v>
      </c>
      <c r="C42" s="29" t="s">
        <v>39</v>
      </c>
      <c r="D42" s="30" t="s">
        <v>39</v>
      </c>
      <c r="F42" s="19">
        <v>64</v>
      </c>
      <c r="G42" s="28" t="s">
        <v>35</v>
      </c>
      <c r="H42" s="29" t="s">
        <v>39</v>
      </c>
      <c r="I42" s="30" t="s">
        <v>39</v>
      </c>
    </row>
    <row r="43" spans="1:10" ht="14.25" customHeight="1">
      <c r="A43" s="23">
        <v>53</v>
      </c>
      <c r="B43" s="31" t="s">
        <v>70</v>
      </c>
      <c r="C43" s="32" t="s">
        <v>39</v>
      </c>
      <c r="D43" s="33" t="s">
        <v>39</v>
      </c>
      <c r="F43" s="23">
        <v>65</v>
      </c>
      <c r="G43" s="31" t="s">
        <v>71</v>
      </c>
      <c r="H43" s="32" t="s">
        <v>39</v>
      </c>
      <c r="I43" s="33" t="s">
        <v>39</v>
      </c>
    </row>
    <row r="44" spans="1:10" ht="14.25" customHeight="1">
      <c r="A44" s="147" t="s">
        <v>72</v>
      </c>
      <c r="B44" s="139"/>
      <c r="C44" s="139"/>
      <c r="D44" s="139"/>
      <c r="E44" s="139"/>
      <c r="F44" s="139"/>
      <c r="G44" s="139"/>
      <c r="H44" s="139"/>
      <c r="I44" s="139"/>
      <c r="J44" s="139"/>
    </row>
    <row r="45" spans="1:10" ht="13.5" customHeight="1">
      <c r="A45" s="24">
        <v>66</v>
      </c>
      <c r="B45" s="25" t="s">
        <v>73</v>
      </c>
      <c r="C45" s="26" t="s">
        <v>39</v>
      </c>
      <c r="D45" s="27" t="s">
        <v>39</v>
      </c>
      <c r="F45" s="24">
        <v>77</v>
      </c>
      <c r="G45" s="36">
        <v>3</v>
      </c>
      <c r="H45" s="148" t="s">
        <v>74</v>
      </c>
      <c r="I45" s="27" t="s">
        <v>75</v>
      </c>
    </row>
    <row r="46" spans="1:10" ht="13.5" customHeight="1">
      <c r="A46" s="19">
        <v>67</v>
      </c>
      <c r="B46" s="20" t="s">
        <v>76</v>
      </c>
      <c r="C46" s="29" t="s">
        <v>39</v>
      </c>
      <c r="D46" s="30" t="s">
        <v>39</v>
      </c>
      <c r="F46" s="19">
        <v>78</v>
      </c>
      <c r="G46" s="20">
        <v>3</v>
      </c>
      <c r="H46" s="139"/>
      <c r="I46" s="30" t="s">
        <v>77</v>
      </c>
    </row>
    <row r="47" spans="1:10" ht="13.5" customHeight="1">
      <c r="A47" s="19">
        <v>68</v>
      </c>
      <c r="B47" s="20" t="s">
        <v>78</v>
      </c>
      <c r="C47" s="29" t="s">
        <v>39</v>
      </c>
      <c r="D47" s="30" t="s">
        <v>39</v>
      </c>
      <c r="F47" s="19">
        <v>79</v>
      </c>
      <c r="G47" s="20">
        <v>4</v>
      </c>
      <c r="H47" s="29" t="s">
        <v>79</v>
      </c>
      <c r="I47" s="30" t="s">
        <v>39</v>
      </c>
    </row>
    <row r="48" spans="1:10" ht="13.5" customHeight="1">
      <c r="A48" s="19">
        <v>69</v>
      </c>
      <c r="B48" s="20" t="s">
        <v>80</v>
      </c>
      <c r="C48" s="29" t="s">
        <v>39</v>
      </c>
      <c r="D48" s="30" t="s">
        <v>39</v>
      </c>
      <c r="F48" s="19">
        <v>80</v>
      </c>
      <c r="G48" s="20">
        <v>5</v>
      </c>
      <c r="H48" s="29" t="s">
        <v>81</v>
      </c>
      <c r="I48" s="30" t="s">
        <v>39</v>
      </c>
    </row>
    <row r="49" spans="1:10" ht="13.5" customHeight="1">
      <c r="A49" s="19">
        <v>70</v>
      </c>
      <c r="B49" s="20" t="s">
        <v>82</v>
      </c>
      <c r="C49" s="29" t="s">
        <v>39</v>
      </c>
      <c r="D49" s="30" t="s">
        <v>39</v>
      </c>
      <c r="F49" s="19">
        <v>81</v>
      </c>
      <c r="G49" s="20">
        <v>6</v>
      </c>
      <c r="H49" s="29" t="s">
        <v>83</v>
      </c>
      <c r="I49" s="30" t="s">
        <v>39</v>
      </c>
    </row>
    <row r="50" spans="1:10" ht="13.5" customHeight="1">
      <c r="A50" s="19">
        <v>71</v>
      </c>
      <c r="B50" s="20" t="s">
        <v>84</v>
      </c>
      <c r="C50" s="29" t="s">
        <v>39</v>
      </c>
      <c r="D50" s="30" t="s">
        <v>39</v>
      </c>
      <c r="F50" s="19">
        <v>82</v>
      </c>
      <c r="G50" s="20">
        <v>7</v>
      </c>
      <c r="H50" s="29" t="s">
        <v>85</v>
      </c>
      <c r="I50" s="30" t="s">
        <v>39</v>
      </c>
    </row>
    <row r="51" spans="1:10" ht="13.5" customHeight="1">
      <c r="A51" s="19">
        <v>72</v>
      </c>
      <c r="B51" s="20" t="s">
        <v>86</v>
      </c>
      <c r="C51" s="29" t="s">
        <v>39</v>
      </c>
      <c r="D51" s="30" t="s">
        <v>39</v>
      </c>
      <c r="F51" s="19">
        <v>83</v>
      </c>
      <c r="G51" s="20">
        <v>8</v>
      </c>
      <c r="H51" s="29" t="s">
        <v>87</v>
      </c>
      <c r="I51" s="30" t="s">
        <v>39</v>
      </c>
    </row>
    <row r="52" spans="1:10" ht="13.5" customHeight="1">
      <c r="A52" s="19">
        <v>73</v>
      </c>
      <c r="B52" s="20">
        <v>1</v>
      </c>
      <c r="C52" s="29" t="s">
        <v>88</v>
      </c>
      <c r="D52" s="30" t="s">
        <v>39</v>
      </c>
      <c r="F52" s="19">
        <v>84</v>
      </c>
      <c r="G52" s="28" t="s">
        <v>89</v>
      </c>
      <c r="H52" s="29" t="s">
        <v>39</v>
      </c>
      <c r="I52" s="30" t="s">
        <v>39</v>
      </c>
    </row>
    <row r="53" spans="1:10" ht="13.5" customHeight="1">
      <c r="A53" s="19">
        <v>74</v>
      </c>
      <c r="B53" s="20">
        <v>2</v>
      </c>
      <c r="C53" s="29" t="s">
        <v>90</v>
      </c>
      <c r="D53" s="30" t="s">
        <v>39</v>
      </c>
      <c r="F53" s="19">
        <v>85</v>
      </c>
      <c r="G53" s="28" t="s">
        <v>29</v>
      </c>
      <c r="H53" s="29" t="s">
        <v>39</v>
      </c>
      <c r="I53" s="30" t="s">
        <v>39</v>
      </c>
    </row>
    <row r="54" spans="1:10" ht="13.5" customHeight="1">
      <c r="A54" s="19">
        <v>75</v>
      </c>
      <c r="B54" s="20">
        <v>3</v>
      </c>
      <c r="C54" s="149" t="s">
        <v>74</v>
      </c>
      <c r="D54" s="30" t="s">
        <v>91</v>
      </c>
      <c r="F54" s="19">
        <v>86</v>
      </c>
      <c r="G54" s="28" t="s">
        <v>31</v>
      </c>
      <c r="H54" s="29" t="s">
        <v>39</v>
      </c>
      <c r="I54" s="30" t="s">
        <v>39</v>
      </c>
    </row>
    <row r="55" spans="1:10" ht="14.25" customHeight="1">
      <c r="A55" s="23">
        <v>76</v>
      </c>
      <c r="B55" s="37">
        <v>3</v>
      </c>
      <c r="C55" s="139"/>
      <c r="D55" s="33" t="s">
        <v>92</v>
      </c>
      <c r="F55" s="23">
        <v>87</v>
      </c>
      <c r="G55" s="31" t="s">
        <v>33</v>
      </c>
      <c r="H55" s="32" t="s">
        <v>39</v>
      </c>
      <c r="I55" s="33" t="s">
        <v>39</v>
      </c>
    </row>
    <row r="56" spans="1:10" ht="14.25" customHeight="1">
      <c r="A56" s="147" t="s">
        <v>93</v>
      </c>
      <c r="B56" s="139"/>
      <c r="C56" s="139"/>
      <c r="D56" s="139"/>
      <c r="E56" s="139"/>
      <c r="F56" s="139"/>
      <c r="G56" s="139"/>
      <c r="H56" s="139"/>
      <c r="I56" s="139"/>
      <c r="J56" s="139"/>
    </row>
    <row r="57" spans="1:10" ht="13.5" customHeight="1">
      <c r="A57" s="24">
        <v>88</v>
      </c>
      <c r="B57" s="25" t="s">
        <v>94</v>
      </c>
      <c r="C57" s="26" t="s">
        <v>39</v>
      </c>
      <c r="D57" s="27" t="s">
        <v>39</v>
      </c>
      <c r="F57" s="24">
        <v>91</v>
      </c>
      <c r="G57" s="25" t="s">
        <v>29</v>
      </c>
      <c r="H57" s="26" t="s">
        <v>39</v>
      </c>
      <c r="I57" s="27" t="s">
        <v>39</v>
      </c>
    </row>
    <row r="58" spans="1:10" ht="13.5" customHeight="1">
      <c r="A58" s="19">
        <v>89</v>
      </c>
      <c r="B58" s="20" t="s">
        <v>95</v>
      </c>
      <c r="C58" s="29" t="s">
        <v>39</v>
      </c>
      <c r="D58" s="30" t="s">
        <v>39</v>
      </c>
      <c r="F58" s="19">
        <v>92</v>
      </c>
      <c r="G58" s="20" t="s">
        <v>31</v>
      </c>
      <c r="H58" s="29" t="s">
        <v>39</v>
      </c>
      <c r="I58" s="30" t="s">
        <v>39</v>
      </c>
    </row>
    <row r="59" spans="1:10" ht="14.25" customHeight="1">
      <c r="A59" s="23">
        <v>90</v>
      </c>
      <c r="B59" s="37" t="s">
        <v>96</v>
      </c>
      <c r="C59" s="32" t="s">
        <v>39</v>
      </c>
      <c r="D59" s="33" t="s">
        <v>39</v>
      </c>
      <c r="F59" s="23">
        <v>93</v>
      </c>
      <c r="G59" s="37" t="s">
        <v>33</v>
      </c>
      <c r="H59" s="32" t="s">
        <v>39</v>
      </c>
      <c r="I59" s="33" t="s">
        <v>39</v>
      </c>
    </row>
    <row r="60" spans="1:10" ht="13.5" customHeight="1">
      <c r="A60" s="147" t="s">
        <v>97</v>
      </c>
      <c r="B60" s="139"/>
      <c r="C60" s="139"/>
      <c r="D60" s="139"/>
      <c r="E60" s="139"/>
      <c r="F60" s="139"/>
      <c r="G60" s="139"/>
      <c r="H60" s="139"/>
      <c r="I60" s="139"/>
      <c r="J60" s="139"/>
    </row>
    <row r="61" spans="1:10" ht="13.5" customHeight="1">
      <c r="A61" s="24">
        <v>94</v>
      </c>
      <c r="B61" s="25" t="s">
        <v>98</v>
      </c>
      <c r="C61" s="26" t="s">
        <v>39</v>
      </c>
      <c r="D61" s="27" t="s">
        <v>39</v>
      </c>
      <c r="F61" s="24">
        <v>112</v>
      </c>
      <c r="G61" s="25" t="s">
        <v>99</v>
      </c>
      <c r="H61" s="26" t="s">
        <v>39</v>
      </c>
      <c r="I61" s="27" t="s">
        <v>39</v>
      </c>
    </row>
    <row r="62" spans="1:10" ht="13.5" customHeight="1">
      <c r="A62" s="19">
        <v>95</v>
      </c>
      <c r="B62" s="20" t="s">
        <v>100</v>
      </c>
      <c r="C62" s="29" t="s">
        <v>39</v>
      </c>
      <c r="D62" s="30" t="s">
        <v>39</v>
      </c>
      <c r="F62" s="19">
        <v>113</v>
      </c>
      <c r="G62" s="20" t="s">
        <v>101</v>
      </c>
      <c r="H62" s="29" t="s">
        <v>102</v>
      </c>
      <c r="I62" s="30" t="s">
        <v>39</v>
      </c>
    </row>
    <row r="63" spans="1:10" ht="13.5" customHeight="1">
      <c r="A63" s="19">
        <v>96</v>
      </c>
      <c r="B63" s="150" t="s">
        <v>103</v>
      </c>
      <c r="C63" s="29" t="s">
        <v>104</v>
      </c>
      <c r="D63" s="30" t="s">
        <v>39</v>
      </c>
      <c r="F63" s="19">
        <v>114</v>
      </c>
      <c r="G63" s="20" t="s">
        <v>105</v>
      </c>
      <c r="H63" s="29" t="s">
        <v>39</v>
      </c>
      <c r="I63" s="30" t="s">
        <v>39</v>
      </c>
    </row>
    <row r="64" spans="1:10" ht="13.5" customHeight="1">
      <c r="A64" s="19">
        <v>97</v>
      </c>
      <c r="B64" s="139"/>
      <c r="C64" s="29" t="s">
        <v>106</v>
      </c>
      <c r="D64" s="30" t="s">
        <v>39</v>
      </c>
      <c r="F64" s="19">
        <v>115</v>
      </c>
      <c r="G64" s="20" t="s">
        <v>107</v>
      </c>
      <c r="H64" s="29" t="s">
        <v>39</v>
      </c>
      <c r="I64" s="30" t="s">
        <v>39</v>
      </c>
    </row>
    <row r="65" spans="1:10" ht="13.5" customHeight="1">
      <c r="A65" s="19">
        <v>98</v>
      </c>
      <c r="B65" s="38" t="s">
        <v>108</v>
      </c>
      <c r="C65" s="29" t="s">
        <v>39</v>
      </c>
      <c r="D65" s="30" t="s">
        <v>39</v>
      </c>
      <c r="F65" s="19">
        <v>116</v>
      </c>
      <c r="G65" s="20" t="s">
        <v>109</v>
      </c>
      <c r="H65" s="29" t="s">
        <v>39</v>
      </c>
      <c r="I65" s="30" t="s">
        <v>39</v>
      </c>
    </row>
    <row r="66" spans="1:10" ht="13.5" customHeight="1">
      <c r="A66" s="19">
        <v>99</v>
      </c>
      <c r="B66" s="38" t="s">
        <v>110</v>
      </c>
      <c r="C66" s="29" t="s">
        <v>39</v>
      </c>
      <c r="D66" s="30" t="s">
        <v>39</v>
      </c>
      <c r="F66" s="19">
        <v>117</v>
      </c>
      <c r="G66" s="20" t="s">
        <v>111</v>
      </c>
      <c r="H66" s="29" t="s">
        <v>39</v>
      </c>
      <c r="I66" s="30" t="s">
        <v>39</v>
      </c>
    </row>
    <row r="67" spans="1:10" ht="14.25" customHeight="1">
      <c r="A67" s="19">
        <v>100</v>
      </c>
      <c r="B67" s="151" t="s">
        <v>112</v>
      </c>
      <c r="C67" s="29" t="s">
        <v>113</v>
      </c>
      <c r="D67" s="30" t="s">
        <v>39</v>
      </c>
      <c r="F67" s="19">
        <v>118</v>
      </c>
      <c r="G67" s="20" t="s">
        <v>114</v>
      </c>
      <c r="H67" s="29" t="s">
        <v>39</v>
      </c>
      <c r="I67" s="30" t="s">
        <v>39</v>
      </c>
    </row>
    <row r="68" spans="1:10" ht="13.5" customHeight="1">
      <c r="A68" s="19">
        <v>101</v>
      </c>
      <c r="B68" s="139"/>
      <c r="C68" s="29" t="s">
        <v>115</v>
      </c>
      <c r="D68" s="30" t="s">
        <v>39</v>
      </c>
      <c r="F68" s="19">
        <v>119</v>
      </c>
      <c r="G68" s="20" t="s">
        <v>116</v>
      </c>
      <c r="H68" s="29" t="s">
        <v>39</v>
      </c>
      <c r="I68" s="30" t="s">
        <v>39</v>
      </c>
    </row>
    <row r="69" spans="1:10" ht="13.5" customHeight="1">
      <c r="A69" s="19">
        <v>102</v>
      </c>
      <c r="B69" s="38" t="s">
        <v>117</v>
      </c>
      <c r="C69" s="29" t="s">
        <v>39</v>
      </c>
      <c r="D69" s="30" t="s">
        <v>39</v>
      </c>
      <c r="F69" s="19">
        <v>120</v>
      </c>
      <c r="G69" s="150" t="s">
        <v>118</v>
      </c>
      <c r="H69" s="29" t="s">
        <v>113</v>
      </c>
      <c r="I69" s="30" t="s">
        <v>39</v>
      </c>
    </row>
    <row r="70" spans="1:10" ht="13.5" customHeight="1">
      <c r="A70" s="19">
        <v>103</v>
      </c>
      <c r="B70" s="38" t="s">
        <v>119</v>
      </c>
      <c r="C70" s="29" t="s">
        <v>39</v>
      </c>
      <c r="D70" s="30" t="s">
        <v>39</v>
      </c>
      <c r="F70" s="19">
        <v>121</v>
      </c>
      <c r="G70" s="139"/>
      <c r="H70" s="29" t="s">
        <v>115</v>
      </c>
      <c r="I70" s="30" t="s">
        <v>39</v>
      </c>
    </row>
    <row r="71" spans="1:10" ht="13.5" customHeight="1">
      <c r="A71" s="19">
        <v>104</v>
      </c>
      <c r="B71" s="38" t="s">
        <v>120</v>
      </c>
      <c r="C71" s="29" t="s">
        <v>39</v>
      </c>
      <c r="D71" s="30" t="s">
        <v>39</v>
      </c>
      <c r="F71" s="19">
        <v>122</v>
      </c>
      <c r="G71" s="20" t="s">
        <v>121</v>
      </c>
      <c r="H71" s="29" t="s">
        <v>39</v>
      </c>
      <c r="I71" s="30" t="s">
        <v>39</v>
      </c>
    </row>
    <row r="72" spans="1:10" ht="13.5" customHeight="1">
      <c r="A72" s="19">
        <v>105</v>
      </c>
      <c r="B72" s="38" t="s">
        <v>122</v>
      </c>
      <c r="C72" s="29" t="s">
        <v>113</v>
      </c>
      <c r="D72" s="30" t="s">
        <v>39</v>
      </c>
      <c r="F72" s="19">
        <v>123</v>
      </c>
      <c r="G72" s="20" t="s">
        <v>29</v>
      </c>
      <c r="H72" s="29" t="s">
        <v>39</v>
      </c>
      <c r="I72" s="30" t="s">
        <v>39</v>
      </c>
    </row>
    <row r="73" spans="1:10" ht="13.5" customHeight="1">
      <c r="A73" s="19">
        <v>106</v>
      </c>
      <c r="B73" s="38" t="s">
        <v>122</v>
      </c>
      <c r="C73" s="29" t="s">
        <v>115</v>
      </c>
      <c r="D73" s="30" t="s">
        <v>39</v>
      </c>
      <c r="F73" s="19">
        <v>124</v>
      </c>
      <c r="G73" s="20" t="s">
        <v>31</v>
      </c>
      <c r="H73" s="29" t="s">
        <v>39</v>
      </c>
      <c r="I73" s="30" t="s">
        <v>39</v>
      </c>
    </row>
    <row r="74" spans="1:10" ht="13.5" customHeight="1">
      <c r="A74" s="19">
        <v>107</v>
      </c>
      <c r="B74" s="38" t="s">
        <v>123</v>
      </c>
      <c r="C74" s="29" t="s">
        <v>39</v>
      </c>
      <c r="D74" s="30" t="s">
        <v>39</v>
      </c>
      <c r="F74" s="19">
        <v>125</v>
      </c>
      <c r="G74" s="20" t="s">
        <v>33</v>
      </c>
      <c r="H74" s="29" t="s">
        <v>39</v>
      </c>
      <c r="I74" s="30" t="s">
        <v>39</v>
      </c>
    </row>
    <row r="75" spans="1:10" ht="13.5" customHeight="1">
      <c r="A75" s="19">
        <v>108</v>
      </c>
      <c r="B75" s="150" t="s">
        <v>124</v>
      </c>
      <c r="C75" s="29" t="s">
        <v>113</v>
      </c>
      <c r="D75" s="30" t="s">
        <v>39</v>
      </c>
      <c r="F75" s="19">
        <v>126</v>
      </c>
      <c r="G75" s="20" t="s">
        <v>35</v>
      </c>
      <c r="H75" s="29" t="s">
        <v>39</v>
      </c>
      <c r="I75" s="30" t="s">
        <v>39</v>
      </c>
    </row>
    <row r="76" spans="1:10" ht="13.5" customHeight="1">
      <c r="A76" s="19">
        <v>109</v>
      </c>
      <c r="B76" s="139"/>
      <c r="C76" s="29" t="s">
        <v>115</v>
      </c>
      <c r="D76" s="30" t="s">
        <v>39</v>
      </c>
      <c r="F76" s="19">
        <v>127</v>
      </c>
      <c r="G76" s="20" t="s">
        <v>71</v>
      </c>
      <c r="H76" s="29" t="s">
        <v>39</v>
      </c>
      <c r="I76" s="30" t="s">
        <v>39</v>
      </c>
    </row>
    <row r="77" spans="1:10" ht="13.5" customHeight="1">
      <c r="A77" s="19">
        <v>110</v>
      </c>
      <c r="B77" s="150" t="s">
        <v>125</v>
      </c>
      <c r="C77" s="29" t="s">
        <v>113</v>
      </c>
      <c r="D77" s="30" t="s">
        <v>39</v>
      </c>
      <c r="F77" s="19">
        <v>128</v>
      </c>
      <c r="G77" s="20" t="s">
        <v>126</v>
      </c>
      <c r="H77" s="29" t="s">
        <v>39</v>
      </c>
      <c r="I77" s="30" t="s">
        <v>39</v>
      </c>
    </row>
    <row r="78" spans="1:10" ht="14.25" customHeight="1">
      <c r="A78" s="23">
        <v>111</v>
      </c>
      <c r="B78" s="139"/>
      <c r="C78" s="32" t="s">
        <v>115</v>
      </c>
      <c r="D78" s="33" t="s">
        <v>39</v>
      </c>
      <c r="F78" s="23">
        <v>129</v>
      </c>
      <c r="G78" s="37" t="s">
        <v>127</v>
      </c>
      <c r="H78" s="32" t="s">
        <v>39</v>
      </c>
      <c r="I78" s="33" t="s">
        <v>39</v>
      </c>
    </row>
    <row r="79" spans="1:10" ht="14.25" customHeight="1">
      <c r="A79" s="147" t="s">
        <v>128</v>
      </c>
      <c r="B79" s="139"/>
      <c r="C79" s="139"/>
      <c r="D79" s="139"/>
      <c r="E79" s="139"/>
      <c r="F79" s="139"/>
      <c r="G79" s="139"/>
      <c r="H79" s="139"/>
      <c r="I79" s="139"/>
      <c r="J79" s="139"/>
    </row>
    <row r="80" spans="1:10" ht="13.5" customHeight="1">
      <c r="A80" s="24">
        <v>130</v>
      </c>
      <c r="B80" s="152" t="s">
        <v>129</v>
      </c>
      <c r="C80" s="26" t="s">
        <v>130</v>
      </c>
      <c r="D80" s="27" t="s">
        <v>39</v>
      </c>
      <c r="F80" s="24">
        <v>268</v>
      </c>
      <c r="G80" s="39" t="s">
        <v>131</v>
      </c>
      <c r="H80" s="153" t="s">
        <v>132</v>
      </c>
      <c r="I80" s="27" t="s">
        <v>133</v>
      </c>
    </row>
    <row r="81" spans="1:9" ht="13.5" customHeight="1">
      <c r="A81" s="19">
        <v>131</v>
      </c>
      <c r="B81" s="139"/>
      <c r="C81" s="29" t="s">
        <v>134</v>
      </c>
      <c r="D81" s="30" t="s">
        <v>39</v>
      </c>
      <c r="F81" s="19">
        <v>269</v>
      </c>
      <c r="H81" s="139"/>
      <c r="I81" s="30" t="s">
        <v>135</v>
      </c>
    </row>
    <row r="82" spans="1:9" ht="13.5" customHeight="1">
      <c r="A82" s="19">
        <v>132</v>
      </c>
      <c r="B82" s="139"/>
      <c r="C82" s="29" t="s">
        <v>136</v>
      </c>
      <c r="D82" s="30" t="s">
        <v>39</v>
      </c>
      <c r="F82" s="19">
        <v>270</v>
      </c>
      <c r="H82" s="139"/>
      <c r="I82" s="30" t="s">
        <v>137</v>
      </c>
    </row>
    <row r="83" spans="1:9" ht="13.5" customHeight="1">
      <c r="A83" s="19">
        <v>133</v>
      </c>
      <c r="B83" s="154" t="s">
        <v>138</v>
      </c>
      <c r="C83" s="29" t="s">
        <v>139</v>
      </c>
      <c r="D83" s="30" t="s">
        <v>39</v>
      </c>
      <c r="F83" s="19">
        <v>271</v>
      </c>
      <c r="H83" s="139"/>
      <c r="I83" s="30" t="s">
        <v>77</v>
      </c>
    </row>
    <row r="84" spans="1:9" ht="13.5" customHeight="1">
      <c r="A84" s="19">
        <v>134</v>
      </c>
      <c r="B84" s="139"/>
      <c r="C84" s="29" t="s">
        <v>140</v>
      </c>
      <c r="D84" s="30" t="s">
        <v>39</v>
      </c>
      <c r="F84" s="19">
        <v>272</v>
      </c>
      <c r="H84" s="139"/>
      <c r="I84" s="30" t="s">
        <v>141</v>
      </c>
    </row>
    <row r="85" spans="1:9" ht="13.5" customHeight="1">
      <c r="A85" s="19">
        <v>135</v>
      </c>
      <c r="B85" s="139"/>
      <c r="C85" s="29" t="s">
        <v>142</v>
      </c>
      <c r="D85" s="30" t="s">
        <v>39</v>
      </c>
      <c r="F85" s="19">
        <v>273</v>
      </c>
      <c r="H85" s="139"/>
      <c r="I85" s="30" t="s">
        <v>143</v>
      </c>
    </row>
    <row r="86" spans="1:9" ht="13.5" customHeight="1">
      <c r="A86" s="19">
        <v>136</v>
      </c>
      <c r="B86" s="139"/>
      <c r="C86" s="29" t="s">
        <v>144</v>
      </c>
      <c r="D86" s="30" t="s">
        <v>39</v>
      </c>
      <c r="F86" s="19">
        <v>274</v>
      </c>
      <c r="H86" s="139"/>
      <c r="I86" s="30" t="s">
        <v>145</v>
      </c>
    </row>
    <row r="87" spans="1:9" ht="13.5" customHeight="1">
      <c r="A87" s="19">
        <v>137</v>
      </c>
      <c r="B87" s="139"/>
      <c r="C87" s="29" t="s">
        <v>146</v>
      </c>
      <c r="D87" s="30" t="s">
        <v>39</v>
      </c>
      <c r="F87" s="19">
        <v>275</v>
      </c>
      <c r="H87" s="139"/>
      <c r="I87" s="30" t="s">
        <v>147</v>
      </c>
    </row>
    <row r="88" spans="1:9" ht="13.5" customHeight="1">
      <c r="A88" s="19">
        <v>138</v>
      </c>
      <c r="B88" s="139"/>
      <c r="C88" s="29" t="s">
        <v>148</v>
      </c>
      <c r="D88" s="30" t="s">
        <v>39</v>
      </c>
      <c r="F88" s="19">
        <v>276</v>
      </c>
      <c r="H88" s="139"/>
      <c r="I88" s="30" t="s">
        <v>149</v>
      </c>
    </row>
    <row r="89" spans="1:9" ht="13.5" customHeight="1">
      <c r="A89" s="19">
        <v>139</v>
      </c>
      <c r="B89" s="139"/>
      <c r="C89" s="29" t="s">
        <v>150</v>
      </c>
      <c r="D89" s="30" t="s">
        <v>39</v>
      </c>
      <c r="F89" s="19">
        <v>277</v>
      </c>
      <c r="H89" s="139"/>
      <c r="I89" s="30" t="s">
        <v>151</v>
      </c>
    </row>
    <row r="90" spans="1:9" ht="13.5" customHeight="1">
      <c r="A90" s="19">
        <v>140</v>
      </c>
      <c r="B90" s="154" t="s">
        <v>152</v>
      </c>
      <c r="C90" s="29" t="s">
        <v>153</v>
      </c>
      <c r="D90" s="30" t="s">
        <v>154</v>
      </c>
      <c r="F90" s="19">
        <v>278</v>
      </c>
      <c r="H90" s="139"/>
      <c r="I90" s="30" t="s">
        <v>155</v>
      </c>
    </row>
    <row r="91" spans="1:9" ht="13.5" customHeight="1">
      <c r="A91" s="19">
        <v>141</v>
      </c>
      <c r="B91" s="139"/>
      <c r="C91" s="29" t="s">
        <v>153</v>
      </c>
      <c r="D91" s="30" t="s">
        <v>77</v>
      </c>
      <c r="F91" s="19">
        <v>279</v>
      </c>
      <c r="H91" s="139"/>
      <c r="I91" s="30" t="s">
        <v>156</v>
      </c>
    </row>
    <row r="92" spans="1:9" ht="13.5" customHeight="1">
      <c r="A92" s="19">
        <v>142</v>
      </c>
      <c r="B92" s="139"/>
      <c r="C92" s="29" t="s">
        <v>157</v>
      </c>
      <c r="D92" s="30" t="s">
        <v>154</v>
      </c>
      <c r="F92" s="19">
        <v>280</v>
      </c>
      <c r="H92" s="139"/>
      <c r="I92" s="30" t="s">
        <v>158</v>
      </c>
    </row>
    <row r="93" spans="1:9" ht="13.5" customHeight="1">
      <c r="A93" s="19">
        <v>143</v>
      </c>
      <c r="B93" s="139"/>
      <c r="C93" s="29" t="s">
        <v>157</v>
      </c>
      <c r="D93" s="30" t="s">
        <v>77</v>
      </c>
      <c r="F93" s="19">
        <v>281</v>
      </c>
      <c r="H93" s="139"/>
      <c r="I93" s="30" t="s">
        <v>159</v>
      </c>
    </row>
    <row r="94" spans="1:9" ht="13.5" customHeight="1">
      <c r="A94" s="19">
        <v>144</v>
      </c>
      <c r="B94" s="139"/>
      <c r="C94" s="29" t="s">
        <v>160</v>
      </c>
      <c r="D94" s="30" t="s">
        <v>154</v>
      </c>
      <c r="F94" s="19">
        <v>282</v>
      </c>
      <c r="H94" s="139"/>
      <c r="I94" s="30" t="s">
        <v>161</v>
      </c>
    </row>
    <row r="95" spans="1:9" ht="13.5" customHeight="1">
      <c r="A95" s="19">
        <v>145</v>
      </c>
      <c r="B95" s="139"/>
      <c r="C95" s="29" t="s">
        <v>160</v>
      </c>
      <c r="D95" s="30" t="s">
        <v>77</v>
      </c>
      <c r="F95" s="19">
        <v>283</v>
      </c>
      <c r="H95" s="139"/>
      <c r="I95" s="30" t="s">
        <v>162</v>
      </c>
    </row>
    <row r="96" spans="1:9" ht="13.5" customHeight="1">
      <c r="A96" s="19">
        <v>146</v>
      </c>
      <c r="B96" s="139"/>
      <c r="C96" s="29" t="s">
        <v>163</v>
      </c>
      <c r="D96" s="30" t="s">
        <v>154</v>
      </c>
      <c r="F96" s="19">
        <v>284</v>
      </c>
      <c r="H96" s="139"/>
      <c r="I96" s="30" t="s">
        <v>164</v>
      </c>
    </row>
    <row r="97" spans="1:9" ht="13.5" customHeight="1">
      <c r="A97" s="19">
        <v>147</v>
      </c>
      <c r="B97" s="139"/>
      <c r="C97" s="29" t="s">
        <v>163</v>
      </c>
      <c r="D97" s="30" t="s">
        <v>77</v>
      </c>
      <c r="F97" s="19">
        <v>285</v>
      </c>
      <c r="H97" s="139"/>
      <c r="I97" s="30" t="s">
        <v>165</v>
      </c>
    </row>
    <row r="98" spans="1:9" ht="13.5" customHeight="1">
      <c r="A98" s="19">
        <v>148</v>
      </c>
      <c r="B98" s="154" t="s">
        <v>166</v>
      </c>
      <c r="C98" s="29" t="s">
        <v>91</v>
      </c>
      <c r="D98" s="30" t="s">
        <v>39</v>
      </c>
      <c r="F98" s="19">
        <v>286</v>
      </c>
      <c r="H98" s="139"/>
      <c r="I98" s="30" t="s">
        <v>167</v>
      </c>
    </row>
    <row r="99" spans="1:9" ht="13.5" customHeight="1">
      <c r="A99" s="19">
        <v>149</v>
      </c>
      <c r="B99" s="139"/>
      <c r="C99" s="29" t="s">
        <v>168</v>
      </c>
      <c r="D99" s="30" t="s">
        <v>39</v>
      </c>
      <c r="F99" s="19">
        <v>287</v>
      </c>
      <c r="H99" s="139"/>
      <c r="I99" s="30" t="s">
        <v>169</v>
      </c>
    </row>
    <row r="100" spans="1:9" ht="13.5" customHeight="1">
      <c r="A100" s="19">
        <v>150</v>
      </c>
      <c r="B100" s="139"/>
      <c r="C100" s="29" t="s">
        <v>77</v>
      </c>
      <c r="D100" s="30" t="s">
        <v>39</v>
      </c>
      <c r="F100" s="19">
        <v>288</v>
      </c>
      <c r="H100" s="139"/>
      <c r="I100" s="30" t="s">
        <v>170</v>
      </c>
    </row>
    <row r="101" spans="1:9" ht="13.5" customHeight="1">
      <c r="A101" s="19">
        <v>151</v>
      </c>
      <c r="B101" s="139"/>
      <c r="C101" s="29" t="s">
        <v>171</v>
      </c>
      <c r="D101" s="30" t="s">
        <v>39</v>
      </c>
      <c r="F101" s="19">
        <v>289</v>
      </c>
      <c r="H101" s="155" t="s">
        <v>172</v>
      </c>
      <c r="I101" s="30" t="s">
        <v>133</v>
      </c>
    </row>
    <row r="102" spans="1:9" ht="13.5" customHeight="1">
      <c r="A102" s="19">
        <v>152</v>
      </c>
      <c r="B102" s="139"/>
      <c r="C102" s="29" t="s">
        <v>173</v>
      </c>
      <c r="D102" s="30" t="s">
        <v>39</v>
      </c>
      <c r="F102" s="19">
        <v>290</v>
      </c>
      <c r="H102" s="139"/>
      <c r="I102" s="30" t="s">
        <v>135</v>
      </c>
    </row>
    <row r="103" spans="1:9" ht="13.5" customHeight="1">
      <c r="A103" s="19">
        <v>153</v>
      </c>
      <c r="B103" s="139"/>
      <c r="C103" s="29" t="s">
        <v>174</v>
      </c>
      <c r="D103" s="30" t="s">
        <v>39</v>
      </c>
      <c r="F103" s="19">
        <v>291</v>
      </c>
      <c r="H103" s="139"/>
      <c r="I103" s="30" t="s">
        <v>137</v>
      </c>
    </row>
    <row r="104" spans="1:9" ht="13.5" customHeight="1">
      <c r="A104" s="19">
        <v>154</v>
      </c>
      <c r="B104" s="139"/>
      <c r="C104" s="29" t="s">
        <v>175</v>
      </c>
      <c r="D104" s="30" t="s">
        <v>39</v>
      </c>
      <c r="F104" s="19">
        <v>292</v>
      </c>
      <c r="H104" s="139"/>
      <c r="I104" s="30" t="s">
        <v>77</v>
      </c>
    </row>
    <row r="105" spans="1:9" ht="13.5" customHeight="1">
      <c r="A105" s="19">
        <v>155</v>
      </c>
      <c r="B105" s="154" t="s">
        <v>176</v>
      </c>
      <c r="C105" s="29" t="s">
        <v>91</v>
      </c>
      <c r="D105" s="30" t="s">
        <v>39</v>
      </c>
      <c r="F105" s="19">
        <v>293</v>
      </c>
      <c r="H105" s="139"/>
      <c r="I105" s="30" t="s">
        <v>141</v>
      </c>
    </row>
    <row r="106" spans="1:9" ht="13.5" customHeight="1">
      <c r="A106" s="19">
        <v>156</v>
      </c>
      <c r="B106" s="139"/>
      <c r="C106" s="29" t="s">
        <v>177</v>
      </c>
      <c r="D106" s="30" t="s">
        <v>39</v>
      </c>
      <c r="F106" s="19">
        <v>294</v>
      </c>
      <c r="H106" s="139"/>
      <c r="I106" s="30" t="s">
        <v>143</v>
      </c>
    </row>
    <row r="107" spans="1:9" ht="13.5" customHeight="1">
      <c r="A107" s="19">
        <v>157</v>
      </c>
      <c r="B107" s="139"/>
      <c r="C107" s="29" t="s">
        <v>168</v>
      </c>
      <c r="D107" s="30" t="s">
        <v>39</v>
      </c>
      <c r="F107" s="19">
        <v>295</v>
      </c>
      <c r="H107" s="139"/>
      <c r="I107" s="30" t="s">
        <v>145</v>
      </c>
    </row>
    <row r="108" spans="1:9" ht="13.5" customHeight="1">
      <c r="A108" s="19">
        <v>158</v>
      </c>
      <c r="B108" s="139"/>
      <c r="C108" s="29" t="s">
        <v>77</v>
      </c>
      <c r="D108" s="30" t="s">
        <v>39</v>
      </c>
      <c r="F108" s="19">
        <v>296</v>
      </c>
      <c r="H108" s="139"/>
      <c r="I108" s="30" t="s">
        <v>147</v>
      </c>
    </row>
    <row r="109" spans="1:9" ht="13.5" customHeight="1">
      <c r="A109" s="19">
        <v>159</v>
      </c>
      <c r="B109" s="139"/>
      <c r="C109" s="29" t="s">
        <v>171</v>
      </c>
      <c r="D109" s="30" t="s">
        <v>39</v>
      </c>
      <c r="F109" s="19">
        <v>297</v>
      </c>
      <c r="H109" s="139"/>
      <c r="I109" s="30" t="s">
        <v>149</v>
      </c>
    </row>
    <row r="110" spans="1:9" ht="13.5" customHeight="1">
      <c r="A110" s="19">
        <v>160</v>
      </c>
      <c r="B110" s="139"/>
      <c r="C110" s="29" t="s">
        <v>173</v>
      </c>
      <c r="D110" s="30" t="s">
        <v>39</v>
      </c>
      <c r="F110" s="19">
        <v>298</v>
      </c>
      <c r="H110" s="139"/>
      <c r="I110" s="30" t="s">
        <v>151</v>
      </c>
    </row>
    <row r="111" spans="1:9" ht="13.5" customHeight="1">
      <c r="A111" s="19">
        <v>161</v>
      </c>
      <c r="B111" s="139"/>
      <c r="C111" s="29" t="s">
        <v>174</v>
      </c>
      <c r="D111" s="30" t="s">
        <v>39</v>
      </c>
      <c r="F111" s="19">
        <v>299</v>
      </c>
      <c r="H111" s="139"/>
      <c r="I111" s="30" t="s">
        <v>155</v>
      </c>
    </row>
    <row r="112" spans="1:9" ht="13.5" customHeight="1">
      <c r="A112" s="19">
        <v>162</v>
      </c>
      <c r="B112" s="139"/>
      <c r="C112" s="29" t="s">
        <v>175</v>
      </c>
      <c r="D112" s="30" t="s">
        <v>39</v>
      </c>
      <c r="F112" s="19">
        <v>300</v>
      </c>
      <c r="H112" s="139"/>
      <c r="I112" s="30" t="s">
        <v>156</v>
      </c>
    </row>
    <row r="113" spans="1:9" ht="13.5" customHeight="1">
      <c r="A113" s="19">
        <v>163</v>
      </c>
      <c r="B113" s="154" t="s">
        <v>178</v>
      </c>
      <c r="C113" s="29" t="s">
        <v>91</v>
      </c>
      <c r="D113" s="30" t="s">
        <v>39</v>
      </c>
      <c r="F113" s="19">
        <v>301</v>
      </c>
      <c r="H113" s="139"/>
      <c r="I113" s="30" t="s">
        <v>158</v>
      </c>
    </row>
    <row r="114" spans="1:9" ht="13.5" customHeight="1">
      <c r="A114" s="19">
        <v>164</v>
      </c>
      <c r="B114" s="139"/>
      <c r="C114" s="29" t="s">
        <v>133</v>
      </c>
      <c r="D114" s="30" t="s">
        <v>39</v>
      </c>
      <c r="F114" s="19">
        <v>302</v>
      </c>
      <c r="H114" s="139"/>
      <c r="I114" s="30" t="s">
        <v>159</v>
      </c>
    </row>
    <row r="115" spans="1:9" ht="13.5" customHeight="1">
      <c r="A115" s="19">
        <v>165</v>
      </c>
      <c r="B115" s="139"/>
      <c r="C115" s="29" t="s">
        <v>77</v>
      </c>
      <c r="D115" s="30" t="s">
        <v>39</v>
      </c>
      <c r="F115" s="19">
        <v>303</v>
      </c>
      <c r="H115" s="139"/>
      <c r="I115" s="30" t="s">
        <v>161</v>
      </c>
    </row>
    <row r="116" spans="1:9" ht="13.5" customHeight="1">
      <c r="A116" s="19">
        <v>166</v>
      </c>
      <c r="B116" s="139"/>
      <c r="C116" s="29" t="s">
        <v>179</v>
      </c>
      <c r="D116" s="30" t="s">
        <v>39</v>
      </c>
      <c r="F116" s="19">
        <v>304</v>
      </c>
      <c r="H116" s="139"/>
      <c r="I116" s="30" t="s">
        <v>162</v>
      </c>
    </row>
    <row r="117" spans="1:9" ht="13.5" customHeight="1">
      <c r="A117" s="19">
        <v>167</v>
      </c>
      <c r="B117" s="154" t="s">
        <v>180</v>
      </c>
      <c r="C117" s="29" t="s">
        <v>133</v>
      </c>
      <c r="D117" s="30" t="s">
        <v>39</v>
      </c>
      <c r="F117" s="19">
        <v>305</v>
      </c>
      <c r="H117" s="139"/>
      <c r="I117" s="30" t="s">
        <v>164</v>
      </c>
    </row>
    <row r="118" spans="1:9" ht="13.5" customHeight="1">
      <c r="A118" s="19">
        <v>168</v>
      </c>
      <c r="B118" s="139"/>
      <c r="C118" s="29" t="s">
        <v>181</v>
      </c>
      <c r="D118" s="30" t="s">
        <v>39</v>
      </c>
      <c r="F118" s="19">
        <v>306</v>
      </c>
      <c r="H118" s="139"/>
      <c r="I118" s="30" t="s">
        <v>165</v>
      </c>
    </row>
    <row r="119" spans="1:9" ht="13.5" customHeight="1">
      <c r="A119" s="19">
        <v>169</v>
      </c>
      <c r="B119" s="139"/>
      <c r="C119" s="29" t="s">
        <v>77</v>
      </c>
      <c r="D119" s="30" t="s">
        <v>39</v>
      </c>
      <c r="F119" s="19">
        <v>307</v>
      </c>
      <c r="H119" s="139"/>
      <c r="I119" s="30" t="s">
        <v>167</v>
      </c>
    </row>
    <row r="120" spans="1:9" ht="13.5" customHeight="1">
      <c r="A120" s="19">
        <v>170</v>
      </c>
      <c r="B120" s="154" t="s">
        <v>182</v>
      </c>
      <c r="C120" s="29" t="s">
        <v>91</v>
      </c>
      <c r="D120" s="30" t="s">
        <v>39</v>
      </c>
      <c r="F120" s="19">
        <v>308</v>
      </c>
      <c r="H120" s="139"/>
      <c r="I120" s="30" t="s">
        <v>169</v>
      </c>
    </row>
    <row r="121" spans="1:9" ht="13.5" customHeight="1">
      <c r="A121" s="19">
        <v>171</v>
      </c>
      <c r="B121" s="139"/>
      <c r="C121" s="29" t="s">
        <v>177</v>
      </c>
      <c r="D121" s="30" t="s">
        <v>39</v>
      </c>
      <c r="F121" s="19">
        <v>309</v>
      </c>
      <c r="H121" s="139"/>
      <c r="I121" s="30" t="s">
        <v>170</v>
      </c>
    </row>
    <row r="122" spans="1:9" ht="13.5" customHeight="1">
      <c r="A122" s="19">
        <v>172</v>
      </c>
      <c r="B122" s="139"/>
      <c r="C122" s="29" t="s">
        <v>183</v>
      </c>
      <c r="D122" s="30" t="s">
        <v>39</v>
      </c>
      <c r="F122" s="19">
        <v>310</v>
      </c>
      <c r="H122" s="155" t="s">
        <v>184</v>
      </c>
      <c r="I122" s="30" t="s">
        <v>133</v>
      </c>
    </row>
    <row r="123" spans="1:9" ht="13.5" customHeight="1">
      <c r="A123" s="19">
        <v>173</v>
      </c>
      <c r="B123" s="139"/>
      <c r="C123" s="29" t="s">
        <v>168</v>
      </c>
      <c r="D123" s="30" t="s">
        <v>39</v>
      </c>
      <c r="F123" s="19">
        <v>311</v>
      </c>
      <c r="H123" s="139"/>
      <c r="I123" s="30" t="s">
        <v>135</v>
      </c>
    </row>
    <row r="124" spans="1:9" ht="13.5" customHeight="1">
      <c r="A124" s="19">
        <v>174</v>
      </c>
      <c r="B124" s="139"/>
      <c r="C124" s="29" t="s">
        <v>185</v>
      </c>
      <c r="F124" s="19">
        <v>312</v>
      </c>
      <c r="H124" s="139"/>
      <c r="I124" s="30" t="s">
        <v>137</v>
      </c>
    </row>
    <row r="125" spans="1:9" ht="13.5" customHeight="1">
      <c r="A125" s="19">
        <v>175</v>
      </c>
      <c r="B125" s="139"/>
      <c r="C125" s="29" t="s">
        <v>186</v>
      </c>
      <c r="D125" s="30" t="s">
        <v>133</v>
      </c>
      <c r="F125" s="19">
        <v>313</v>
      </c>
      <c r="H125" s="139"/>
      <c r="I125" s="30" t="s">
        <v>77</v>
      </c>
    </row>
    <row r="126" spans="1:9" ht="13.5" customHeight="1">
      <c r="A126" s="19">
        <v>176</v>
      </c>
      <c r="B126" s="139"/>
      <c r="C126" s="29" t="s">
        <v>186</v>
      </c>
      <c r="D126" s="30" t="s">
        <v>187</v>
      </c>
      <c r="F126" s="19">
        <v>314</v>
      </c>
      <c r="H126" s="139"/>
      <c r="I126" s="30" t="s">
        <v>141</v>
      </c>
    </row>
    <row r="127" spans="1:9" ht="13.5" customHeight="1">
      <c r="A127" s="19">
        <v>177</v>
      </c>
      <c r="B127" s="139"/>
      <c r="C127" s="29" t="s">
        <v>188</v>
      </c>
      <c r="D127" s="30" t="s">
        <v>189</v>
      </c>
      <c r="F127" s="19">
        <v>315</v>
      </c>
      <c r="H127" s="139"/>
      <c r="I127" s="30" t="s">
        <v>143</v>
      </c>
    </row>
    <row r="128" spans="1:9" ht="13.5" customHeight="1">
      <c r="A128" s="19">
        <v>178</v>
      </c>
      <c r="B128" s="139"/>
      <c r="C128" s="29" t="s">
        <v>188</v>
      </c>
      <c r="D128" s="30" t="s">
        <v>190</v>
      </c>
      <c r="F128" s="19">
        <v>316</v>
      </c>
      <c r="H128" s="139"/>
      <c r="I128" s="30" t="s">
        <v>145</v>
      </c>
    </row>
    <row r="129" spans="1:9" ht="13.5" customHeight="1">
      <c r="A129" s="19">
        <v>179</v>
      </c>
      <c r="B129" s="139"/>
      <c r="C129" s="29" t="s">
        <v>188</v>
      </c>
      <c r="D129" s="30" t="s">
        <v>191</v>
      </c>
      <c r="F129" s="19">
        <v>317</v>
      </c>
      <c r="H129" s="139"/>
      <c r="I129" s="30" t="s">
        <v>147</v>
      </c>
    </row>
    <row r="130" spans="1:9" ht="13.5" customHeight="1">
      <c r="A130" s="19">
        <v>180</v>
      </c>
      <c r="B130" s="139"/>
      <c r="C130" s="29" t="s">
        <v>188</v>
      </c>
      <c r="D130" s="30" t="s">
        <v>192</v>
      </c>
      <c r="F130" s="19">
        <v>318</v>
      </c>
      <c r="H130" s="139"/>
      <c r="I130" s="30" t="s">
        <v>149</v>
      </c>
    </row>
    <row r="131" spans="1:9" ht="13.5" customHeight="1">
      <c r="A131" s="19">
        <v>181</v>
      </c>
      <c r="B131" s="139"/>
      <c r="C131" s="29" t="s">
        <v>171</v>
      </c>
      <c r="D131" s="30" t="s">
        <v>39</v>
      </c>
      <c r="F131" s="19">
        <v>319</v>
      </c>
      <c r="H131" s="139"/>
      <c r="I131" s="30" t="s">
        <v>151</v>
      </c>
    </row>
    <row r="132" spans="1:9" ht="13.5" customHeight="1">
      <c r="A132" s="19">
        <v>182</v>
      </c>
      <c r="B132" s="139"/>
      <c r="C132" s="29" t="s">
        <v>173</v>
      </c>
      <c r="D132" s="30" t="s">
        <v>39</v>
      </c>
      <c r="F132" s="19">
        <v>320</v>
      </c>
      <c r="H132" s="139"/>
      <c r="I132" s="30" t="s">
        <v>155</v>
      </c>
    </row>
    <row r="133" spans="1:9" ht="13.5" customHeight="1">
      <c r="A133" s="19">
        <v>183</v>
      </c>
      <c r="B133" s="139"/>
      <c r="C133" s="29" t="s">
        <v>174</v>
      </c>
      <c r="D133" s="30" t="s">
        <v>39</v>
      </c>
      <c r="F133" s="19">
        <v>321</v>
      </c>
      <c r="H133" s="139"/>
      <c r="I133" s="30" t="s">
        <v>156</v>
      </c>
    </row>
    <row r="134" spans="1:9" ht="13.5" customHeight="1">
      <c r="A134" s="19">
        <v>184</v>
      </c>
      <c r="B134" s="139"/>
      <c r="C134" s="29" t="s">
        <v>193</v>
      </c>
      <c r="D134" s="30" t="s">
        <v>133</v>
      </c>
      <c r="F134" s="19">
        <v>322</v>
      </c>
      <c r="H134" s="139"/>
      <c r="I134" s="30" t="s">
        <v>158</v>
      </c>
    </row>
    <row r="135" spans="1:9" ht="13.5" customHeight="1">
      <c r="A135" s="19">
        <v>185</v>
      </c>
      <c r="B135" s="139"/>
      <c r="C135" s="29" t="s">
        <v>193</v>
      </c>
      <c r="D135" s="30" t="s">
        <v>77</v>
      </c>
      <c r="F135" s="19">
        <v>323</v>
      </c>
      <c r="H135" s="139"/>
      <c r="I135" s="30" t="s">
        <v>159</v>
      </c>
    </row>
    <row r="136" spans="1:9" ht="13.5" customHeight="1">
      <c r="A136" s="19">
        <v>186</v>
      </c>
      <c r="B136" s="139"/>
      <c r="C136" s="29" t="s">
        <v>193</v>
      </c>
      <c r="D136" s="30" t="s">
        <v>179</v>
      </c>
      <c r="F136" s="19">
        <v>324</v>
      </c>
      <c r="H136" s="139"/>
      <c r="I136" s="30" t="s">
        <v>161</v>
      </c>
    </row>
    <row r="137" spans="1:9" ht="13.5" customHeight="1">
      <c r="A137" s="19">
        <v>187</v>
      </c>
      <c r="B137" s="139"/>
      <c r="C137" s="29" t="s">
        <v>194</v>
      </c>
      <c r="D137" s="30" t="s">
        <v>133</v>
      </c>
      <c r="F137" s="19">
        <v>325</v>
      </c>
      <c r="H137" s="139"/>
      <c r="I137" s="30" t="s">
        <v>162</v>
      </c>
    </row>
    <row r="138" spans="1:9" ht="13.5" customHeight="1">
      <c r="A138" s="19">
        <v>188</v>
      </c>
      <c r="B138" s="139"/>
      <c r="C138" s="29" t="s">
        <v>194</v>
      </c>
      <c r="D138" s="30" t="s">
        <v>77</v>
      </c>
      <c r="F138" s="19">
        <v>326</v>
      </c>
      <c r="H138" s="139"/>
      <c r="I138" s="30" t="s">
        <v>164</v>
      </c>
    </row>
    <row r="139" spans="1:9" ht="13.5" customHeight="1">
      <c r="A139" s="19">
        <v>189</v>
      </c>
      <c r="B139" s="139"/>
      <c r="C139" s="29" t="s">
        <v>194</v>
      </c>
      <c r="D139" s="30" t="s">
        <v>179</v>
      </c>
      <c r="F139" s="19">
        <v>327</v>
      </c>
      <c r="H139" s="139"/>
      <c r="I139" s="30" t="s">
        <v>165</v>
      </c>
    </row>
    <row r="140" spans="1:9" ht="13.5" customHeight="1">
      <c r="A140" s="19">
        <v>190</v>
      </c>
      <c r="B140" s="139"/>
      <c r="C140" s="29" t="s">
        <v>195</v>
      </c>
      <c r="D140" s="30" t="s">
        <v>39</v>
      </c>
      <c r="F140" s="19">
        <v>328</v>
      </c>
      <c r="H140" s="139"/>
      <c r="I140" s="30" t="s">
        <v>167</v>
      </c>
    </row>
    <row r="141" spans="1:9" ht="13.5" customHeight="1">
      <c r="A141" s="19">
        <v>191</v>
      </c>
      <c r="B141" s="139"/>
      <c r="C141" s="29" t="s">
        <v>196</v>
      </c>
      <c r="D141" s="30" t="s">
        <v>39</v>
      </c>
      <c r="F141" s="19">
        <v>329</v>
      </c>
      <c r="H141" s="139"/>
      <c r="I141" s="30" t="s">
        <v>169</v>
      </c>
    </row>
    <row r="142" spans="1:9" ht="13.5" customHeight="1">
      <c r="A142" s="19">
        <v>192</v>
      </c>
      <c r="B142" s="154" t="s">
        <v>131</v>
      </c>
      <c r="C142" s="29" t="s">
        <v>91</v>
      </c>
      <c r="D142" s="30" t="s">
        <v>39</v>
      </c>
      <c r="F142" s="19">
        <v>330</v>
      </c>
      <c r="H142" s="139"/>
      <c r="I142" s="30" t="s">
        <v>170</v>
      </c>
    </row>
    <row r="143" spans="1:9" ht="13.5" customHeight="1">
      <c r="A143" s="19">
        <v>193</v>
      </c>
      <c r="B143" s="139"/>
      <c r="C143" s="29" t="s">
        <v>197</v>
      </c>
      <c r="D143" s="30" t="s">
        <v>39</v>
      </c>
      <c r="F143" s="19">
        <v>331</v>
      </c>
      <c r="H143" s="155" t="s">
        <v>198</v>
      </c>
      <c r="I143" s="30" t="s">
        <v>133</v>
      </c>
    </row>
    <row r="144" spans="1:9" ht="13.5" customHeight="1">
      <c r="A144" s="19">
        <v>194</v>
      </c>
      <c r="B144" s="139"/>
      <c r="C144" s="29" t="s">
        <v>199</v>
      </c>
      <c r="D144" s="30" t="s">
        <v>39</v>
      </c>
      <c r="F144" s="19">
        <v>332</v>
      </c>
      <c r="H144" s="139"/>
      <c r="I144" s="30" t="s">
        <v>135</v>
      </c>
    </row>
    <row r="145" spans="1:9" ht="13.5" customHeight="1">
      <c r="A145" s="19">
        <v>195</v>
      </c>
      <c r="B145" s="139"/>
      <c r="C145" s="29" t="s">
        <v>21</v>
      </c>
      <c r="D145" s="30" t="s">
        <v>39</v>
      </c>
      <c r="F145" s="19">
        <v>333</v>
      </c>
      <c r="H145" s="139"/>
      <c r="I145" s="30" t="s">
        <v>137</v>
      </c>
    </row>
    <row r="146" spans="1:9" ht="13.5" customHeight="1">
      <c r="A146" s="19">
        <v>196</v>
      </c>
      <c r="B146" s="139"/>
      <c r="C146" s="29" t="s">
        <v>188</v>
      </c>
      <c r="D146" s="30" t="s">
        <v>189</v>
      </c>
      <c r="F146" s="19">
        <v>334</v>
      </c>
      <c r="H146" s="139"/>
      <c r="I146" s="30" t="s">
        <v>77</v>
      </c>
    </row>
    <row r="147" spans="1:9" ht="13.5" customHeight="1">
      <c r="A147" s="19">
        <v>197</v>
      </c>
      <c r="B147" s="139"/>
      <c r="C147" s="29" t="s">
        <v>188</v>
      </c>
      <c r="D147" s="30" t="s">
        <v>190</v>
      </c>
      <c r="F147" s="19">
        <v>335</v>
      </c>
      <c r="H147" s="139"/>
      <c r="I147" s="30" t="s">
        <v>141</v>
      </c>
    </row>
    <row r="148" spans="1:9" ht="13.5" customHeight="1">
      <c r="A148" s="19">
        <v>198</v>
      </c>
      <c r="B148" s="139"/>
      <c r="C148" s="29" t="s">
        <v>188</v>
      </c>
      <c r="D148" s="30" t="s">
        <v>191</v>
      </c>
      <c r="F148" s="19">
        <v>336</v>
      </c>
      <c r="H148" s="139"/>
      <c r="I148" s="30" t="s">
        <v>143</v>
      </c>
    </row>
    <row r="149" spans="1:9" ht="13.5" customHeight="1">
      <c r="A149" s="19">
        <v>199</v>
      </c>
      <c r="B149" s="139"/>
      <c r="C149" s="29" t="s">
        <v>188</v>
      </c>
      <c r="D149" s="30" t="s">
        <v>192</v>
      </c>
      <c r="F149" s="19">
        <v>337</v>
      </c>
      <c r="H149" s="139"/>
      <c r="I149" s="30" t="s">
        <v>145</v>
      </c>
    </row>
    <row r="150" spans="1:9" ht="13.5" customHeight="1">
      <c r="A150" s="19">
        <v>200</v>
      </c>
      <c r="B150" s="139"/>
      <c r="C150" s="29" t="s">
        <v>200</v>
      </c>
      <c r="D150" s="30" t="s">
        <v>39</v>
      </c>
      <c r="F150" s="19">
        <v>338</v>
      </c>
      <c r="H150" s="139"/>
      <c r="I150" s="30" t="s">
        <v>147</v>
      </c>
    </row>
    <row r="151" spans="1:9" ht="13.5" customHeight="1">
      <c r="A151" s="19">
        <v>201</v>
      </c>
      <c r="B151" s="139"/>
      <c r="C151" s="29" t="s">
        <v>201</v>
      </c>
      <c r="D151" s="30" t="s">
        <v>133</v>
      </c>
      <c r="F151" s="19">
        <v>339</v>
      </c>
      <c r="H151" s="139"/>
      <c r="I151" s="30" t="s">
        <v>149</v>
      </c>
    </row>
    <row r="152" spans="1:9" ht="13.5" customHeight="1">
      <c r="A152" s="19">
        <v>202</v>
      </c>
      <c r="B152" s="139"/>
      <c r="C152" s="29" t="s">
        <v>201</v>
      </c>
      <c r="D152" s="30" t="s">
        <v>77</v>
      </c>
      <c r="F152" s="19">
        <v>340</v>
      </c>
      <c r="H152" s="139"/>
      <c r="I152" s="30" t="s">
        <v>151</v>
      </c>
    </row>
    <row r="153" spans="1:9" ht="13.5" customHeight="1">
      <c r="A153" s="19">
        <v>203</v>
      </c>
      <c r="B153" s="139"/>
      <c r="C153" s="29" t="s">
        <v>201</v>
      </c>
      <c r="D153" s="30" t="s">
        <v>179</v>
      </c>
      <c r="F153" s="19">
        <v>341</v>
      </c>
      <c r="H153" s="139"/>
      <c r="I153" s="30" t="s">
        <v>155</v>
      </c>
    </row>
    <row r="154" spans="1:9" ht="13.5" customHeight="1">
      <c r="A154" s="19">
        <v>204</v>
      </c>
      <c r="B154" s="139"/>
      <c r="C154" s="29" t="s">
        <v>196</v>
      </c>
      <c r="D154" s="30" t="s">
        <v>39</v>
      </c>
      <c r="F154" s="19">
        <v>342</v>
      </c>
      <c r="H154" s="139"/>
      <c r="I154" s="30" t="s">
        <v>156</v>
      </c>
    </row>
    <row r="155" spans="1:9" ht="13.5" customHeight="1">
      <c r="A155" s="19">
        <v>205</v>
      </c>
      <c r="B155" s="139"/>
      <c r="C155" s="155" t="s">
        <v>202</v>
      </c>
      <c r="D155" s="30" t="s">
        <v>133</v>
      </c>
      <c r="F155" s="19">
        <v>343</v>
      </c>
      <c r="H155" s="139"/>
      <c r="I155" s="30" t="s">
        <v>158</v>
      </c>
    </row>
    <row r="156" spans="1:9" ht="13.5" customHeight="1">
      <c r="A156" s="19">
        <v>206</v>
      </c>
      <c r="B156" s="139"/>
      <c r="C156" s="139"/>
      <c r="D156" s="30" t="s">
        <v>135</v>
      </c>
      <c r="F156" s="19">
        <v>344</v>
      </c>
      <c r="H156" s="139"/>
      <c r="I156" s="30" t="s">
        <v>159</v>
      </c>
    </row>
    <row r="157" spans="1:9" ht="13.5" customHeight="1">
      <c r="A157" s="19">
        <v>207</v>
      </c>
      <c r="B157" s="139"/>
      <c r="C157" s="139"/>
      <c r="D157" s="30" t="s">
        <v>137</v>
      </c>
      <c r="F157" s="19">
        <v>345</v>
      </c>
      <c r="H157" s="139"/>
      <c r="I157" s="30" t="s">
        <v>161</v>
      </c>
    </row>
    <row r="158" spans="1:9" ht="13.5" customHeight="1">
      <c r="A158" s="19">
        <v>208</v>
      </c>
      <c r="B158" s="139"/>
      <c r="C158" s="139"/>
      <c r="D158" s="30" t="s">
        <v>77</v>
      </c>
      <c r="F158" s="19">
        <v>346</v>
      </c>
      <c r="H158" s="139"/>
      <c r="I158" s="30" t="s">
        <v>162</v>
      </c>
    </row>
    <row r="159" spans="1:9" ht="13.5" customHeight="1">
      <c r="A159" s="19">
        <v>209</v>
      </c>
      <c r="B159" s="139"/>
      <c r="C159" s="139"/>
      <c r="D159" s="30" t="s">
        <v>141</v>
      </c>
      <c r="F159" s="19">
        <v>347</v>
      </c>
      <c r="H159" s="139"/>
      <c r="I159" s="30" t="s">
        <v>164</v>
      </c>
    </row>
    <row r="160" spans="1:9" ht="13.5" customHeight="1">
      <c r="A160" s="19">
        <v>210</v>
      </c>
      <c r="B160" s="139"/>
      <c r="C160" s="139"/>
      <c r="D160" s="30" t="s">
        <v>143</v>
      </c>
      <c r="F160" s="19">
        <v>348</v>
      </c>
      <c r="H160" s="139"/>
      <c r="I160" s="30" t="s">
        <v>165</v>
      </c>
    </row>
    <row r="161" spans="1:9" ht="13.5" customHeight="1">
      <c r="A161" s="19">
        <v>211</v>
      </c>
      <c r="B161" s="139"/>
      <c r="C161" s="139"/>
      <c r="D161" s="30" t="s">
        <v>145</v>
      </c>
      <c r="F161" s="19">
        <v>349</v>
      </c>
      <c r="H161" s="139"/>
      <c r="I161" s="30" t="s">
        <v>167</v>
      </c>
    </row>
    <row r="162" spans="1:9" ht="13.5" customHeight="1">
      <c r="A162" s="19">
        <v>212</v>
      </c>
      <c r="B162" s="139"/>
      <c r="C162" s="139"/>
      <c r="D162" s="30" t="s">
        <v>147</v>
      </c>
      <c r="F162" s="19">
        <v>350</v>
      </c>
      <c r="H162" s="139"/>
      <c r="I162" s="30" t="s">
        <v>169</v>
      </c>
    </row>
    <row r="163" spans="1:9" ht="13.5" customHeight="1">
      <c r="A163" s="19">
        <v>213</v>
      </c>
      <c r="B163" s="139"/>
      <c r="C163" s="139"/>
      <c r="D163" s="30" t="s">
        <v>149</v>
      </c>
      <c r="F163" s="19">
        <v>351</v>
      </c>
      <c r="H163" s="139"/>
      <c r="I163" s="30" t="s">
        <v>170</v>
      </c>
    </row>
    <row r="164" spans="1:9" ht="13.5" customHeight="1">
      <c r="A164" s="19">
        <v>214</v>
      </c>
      <c r="B164" s="139"/>
      <c r="C164" s="139"/>
      <c r="D164" s="30" t="s">
        <v>151</v>
      </c>
      <c r="F164" s="19">
        <v>352</v>
      </c>
      <c r="H164" s="155" t="s">
        <v>203</v>
      </c>
      <c r="I164" s="30" t="s">
        <v>133</v>
      </c>
    </row>
    <row r="165" spans="1:9" ht="13.5" customHeight="1">
      <c r="A165" s="19">
        <v>215</v>
      </c>
      <c r="B165" s="139"/>
      <c r="C165" s="139"/>
      <c r="D165" s="30" t="s">
        <v>155</v>
      </c>
      <c r="F165" s="19">
        <v>353</v>
      </c>
      <c r="H165" s="139"/>
      <c r="I165" s="30" t="s">
        <v>135</v>
      </c>
    </row>
    <row r="166" spans="1:9" ht="13.5" customHeight="1">
      <c r="A166" s="19">
        <v>216</v>
      </c>
      <c r="B166" s="139"/>
      <c r="C166" s="139"/>
      <c r="D166" s="30" t="s">
        <v>156</v>
      </c>
      <c r="F166" s="19">
        <v>354</v>
      </c>
      <c r="H166" s="139"/>
      <c r="I166" s="30" t="s">
        <v>137</v>
      </c>
    </row>
    <row r="167" spans="1:9" ht="13.5" customHeight="1">
      <c r="A167" s="19">
        <v>217</v>
      </c>
      <c r="B167" s="139"/>
      <c r="C167" s="139"/>
      <c r="D167" s="30" t="s">
        <v>158</v>
      </c>
      <c r="F167" s="19">
        <v>355</v>
      </c>
      <c r="H167" s="139"/>
      <c r="I167" s="30" t="s">
        <v>77</v>
      </c>
    </row>
    <row r="168" spans="1:9" ht="13.5" customHeight="1">
      <c r="A168" s="19">
        <v>218</v>
      </c>
      <c r="B168" s="139"/>
      <c r="C168" s="139"/>
      <c r="D168" s="30" t="s">
        <v>159</v>
      </c>
      <c r="F168" s="19">
        <v>356</v>
      </c>
      <c r="H168" s="139"/>
      <c r="I168" s="30" t="s">
        <v>141</v>
      </c>
    </row>
    <row r="169" spans="1:9" ht="13.5" customHeight="1">
      <c r="A169" s="19">
        <v>219</v>
      </c>
      <c r="B169" s="139"/>
      <c r="C169" s="139"/>
      <c r="D169" s="30" t="s">
        <v>161</v>
      </c>
      <c r="F169" s="19">
        <v>357</v>
      </c>
      <c r="H169" s="139"/>
      <c r="I169" s="30" t="s">
        <v>143</v>
      </c>
    </row>
    <row r="170" spans="1:9" ht="13.5" customHeight="1">
      <c r="A170" s="19">
        <v>220</v>
      </c>
      <c r="B170" s="139"/>
      <c r="C170" s="139"/>
      <c r="D170" s="30" t="s">
        <v>162</v>
      </c>
      <c r="F170" s="19">
        <v>358</v>
      </c>
      <c r="H170" s="139"/>
      <c r="I170" s="30" t="s">
        <v>145</v>
      </c>
    </row>
    <row r="171" spans="1:9" ht="13.5" customHeight="1">
      <c r="A171" s="19">
        <v>221</v>
      </c>
      <c r="B171" s="139"/>
      <c r="C171" s="139"/>
      <c r="D171" s="30" t="s">
        <v>164</v>
      </c>
      <c r="F171" s="19">
        <v>359</v>
      </c>
      <c r="H171" s="139"/>
      <c r="I171" s="30" t="s">
        <v>147</v>
      </c>
    </row>
    <row r="172" spans="1:9" ht="13.5" customHeight="1">
      <c r="A172" s="19">
        <v>222</v>
      </c>
      <c r="B172" s="139"/>
      <c r="C172" s="139"/>
      <c r="D172" s="30" t="s">
        <v>165</v>
      </c>
      <c r="F172" s="19">
        <v>360</v>
      </c>
      <c r="H172" s="139"/>
      <c r="I172" s="30" t="s">
        <v>149</v>
      </c>
    </row>
    <row r="173" spans="1:9" ht="13.5" customHeight="1">
      <c r="A173" s="19">
        <v>223</v>
      </c>
      <c r="B173" s="139"/>
      <c r="C173" s="139"/>
      <c r="D173" s="30" t="s">
        <v>167</v>
      </c>
      <c r="F173" s="19">
        <v>361</v>
      </c>
      <c r="H173" s="139"/>
      <c r="I173" s="30" t="s">
        <v>151</v>
      </c>
    </row>
    <row r="174" spans="1:9" ht="13.5" customHeight="1">
      <c r="A174" s="19">
        <v>224</v>
      </c>
      <c r="B174" s="139"/>
      <c r="C174" s="139"/>
      <c r="D174" s="30" t="s">
        <v>169</v>
      </c>
      <c r="F174" s="19">
        <v>362</v>
      </c>
      <c r="H174" s="139"/>
      <c r="I174" s="30" t="s">
        <v>155</v>
      </c>
    </row>
    <row r="175" spans="1:9" ht="13.5" customHeight="1">
      <c r="A175" s="19">
        <v>225</v>
      </c>
      <c r="B175" s="139"/>
      <c r="C175" s="139"/>
      <c r="D175" s="30" t="s">
        <v>170</v>
      </c>
      <c r="F175" s="19">
        <v>363</v>
      </c>
      <c r="H175" s="139"/>
      <c r="I175" s="30" t="s">
        <v>156</v>
      </c>
    </row>
    <row r="176" spans="1:9" ht="13.5" customHeight="1">
      <c r="A176" s="19">
        <v>226</v>
      </c>
      <c r="B176" s="139"/>
      <c r="C176" s="155" t="s">
        <v>204</v>
      </c>
      <c r="D176" s="30" t="s">
        <v>133</v>
      </c>
      <c r="F176" s="19">
        <v>364</v>
      </c>
      <c r="H176" s="139"/>
      <c r="I176" s="30" t="s">
        <v>158</v>
      </c>
    </row>
    <row r="177" spans="1:9" ht="13.5" customHeight="1">
      <c r="A177" s="19">
        <v>227</v>
      </c>
      <c r="B177" s="139"/>
      <c r="C177" s="139"/>
      <c r="D177" s="30" t="s">
        <v>135</v>
      </c>
      <c r="F177" s="19">
        <v>365</v>
      </c>
      <c r="H177" s="139"/>
      <c r="I177" s="30" t="s">
        <v>159</v>
      </c>
    </row>
    <row r="178" spans="1:9" ht="13.5" customHeight="1">
      <c r="A178" s="19">
        <v>228</v>
      </c>
      <c r="B178" s="139"/>
      <c r="C178" s="139"/>
      <c r="D178" s="30" t="s">
        <v>137</v>
      </c>
      <c r="F178" s="19">
        <v>366</v>
      </c>
      <c r="H178" s="139"/>
      <c r="I178" s="30" t="s">
        <v>161</v>
      </c>
    </row>
    <row r="179" spans="1:9" ht="13.5" customHeight="1">
      <c r="A179" s="19">
        <v>229</v>
      </c>
      <c r="B179" s="139"/>
      <c r="C179" s="139"/>
      <c r="D179" s="30" t="s">
        <v>77</v>
      </c>
      <c r="F179" s="19">
        <v>367</v>
      </c>
      <c r="H179" s="139"/>
      <c r="I179" s="30" t="s">
        <v>162</v>
      </c>
    </row>
    <row r="180" spans="1:9" ht="13.5" customHeight="1">
      <c r="A180" s="19">
        <v>230</v>
      </c>
      <c r="B180" s="139"/>
      <c r="C180" s="139"/>
      <c r="D180" s="30" t="s">
        <v>141</v>
      </c>
      <c r="F180" s="19">
        <v>368</v>
      </c>
      <c r="H180" s="139"/>
      <c r="I180" s="30" t="s">
        <v>164</v>
      </c>
    </row>
    <row r="181" spans="1:9" ht="13.5" customHeight="1">
      <c r="A181" s="19">
        <v>231</v>
      </c>
      <c r="B181" s="139"/>
      <c r="C181" s="139"/>
      <c r="D181" s="30" t="s">
        <v>143</v>
      </c>
      <c r="F181" s="19">
        <v>369</v>
      </c>
      <c r="H181" s="139"/>
      <c r="I181" s="30" t="s">
        <v>165</v>
      </c>
    </row>
    <row r="182" spans="1:9" ht="13.5" customHeight="1">
      <c r="A182" s="19">
        <v>232</v>
      </c>
      <c r="B182" s="139"/>
      <c r="C182" s="139"/>
      <c r="D182" s="30" t="s">
        <v>145</v>
      </c>
      <c r="F182" s="19">
        <v>370</v>
      </c>
      <c r="H182" s="139"/>
      <c r="I182" s="30" t="s">
        <v>167</v>
      </c>
    </row>
    <row r="183" spans="1:9" ht="13.5" customHeight="1">
      <c r="A183" s="19">
        <v>233</v>
      </c>
      <c r="B183" s="139"/>
      <c r="C183" s="139"/>
      <c r="D183" s="30" t="s">
        <v>147</v>
      </c>
      <c r="F183" s="19">
        <v>371</v>
      </c>
      <c r="H183" s="139"/>
      <c r="I183" s="30" t="s">
        <v>169</v>
      </c>
    </row>
    <row r="184" spans="1:9" ht="13.5" customHeight="1">
      <c r="A184" s="19">
        <v>234</v>
      </c>
      <c r="B184" s="139"/>
      <c r="C184" s="139"/>
      <c r="D184" s="30" t="s">
        <v>149</v>
      </c>
      <c r="F184" s="19">
        <v>372</v>
      </c>
      <c r="H184" s="139"/>
      <c r="I184" s="30" t="s">
        <v>170</v>
      </c>
    </row>
    <row r="185" spans="1:9" ht="13.5" customHeight="1">
      <c r="A185" s="19">
        <v>235</v>
      </c>
      <c r="B185" s="139"/>
      <c r="C185" s="139"/>
      <c r="D185" s="30" t="s">
        <v>151</v>
      </c>
      <c r="F185" s="19">
        <v>373</v>
      </c>
      <c r="H185" s="155" t="s">
        <v>205</v>
      </c>
      <c r="I185" s="30" t="s">
        <v>133</v>
      </c>
    </row>
    <row r="186" spans="1:9" ht="13.5" customHeight="1">
      <c r="A186" s="19">
        <v>236</v>
      </c>
      <c r="B186" s="139"/>
      <c r="C186" s="139"/>
      <c r="D186" s="30" t="s">
        <v>155</v>
      </c>
      <c r="F186" s="19">
        <v>374</v>
      </c>
      <c r="H186" s="139"/>
      <c r="I186" s="30" t="s">
        <v>135</v>
      </c>
    </row>
    <row r="187" spans="1:9" ht="13.5" customHeight="1">
      <c r="A187" s="19">
        <v>237</v>
      </c>
      <c r="B187" s="139"/>
      <c r="C187" s="139"/>
      <c r="D187" s="30" t="s">
        <v>156</v>
      </c>
      <c r="F187" s="19">
        <v>375</v>
      </c>
      <c r="H187" s="139"/>
      <c r="I187" s="30" t="s">
        <v>137</v>
      </c>
    </row>
    <row r="188" spans="1:9" ht="13.5" customHeight="1">
      <c r="A188" s="19">
        <v>238</v>
      </c>
      <c r="B188" s="139"/>
      <c r="C188" s="139"/>
      <c r="D188" s="30" t="s">
        <v>158</v>
      </c>
      <c r="F188" s="19">
        <v>376</v>
      </c>
      <c r="H188" s="139"/>
      <c r="I188" s="30" t="s">
        <v>77</v>
      </c>
    </row>
    <row r="189" spans="1:9" ht="13.5" customHeight="1">
      <c r="A189" s="19">
        <v>239</v>
      </c>
      <c r="B189" s="139"/>
      <c r="C189" s="139"/>
      <c r="D189" s="30" t="s">
        <v>159</v>
      </c>
      <c r="F189" s="19">
        <v>377</v>
      </c>
      <c r="H189" s="139"/>
      <c r="I189" s="30" t="s">
        <v>141</v>
      </c>
    </row>
    <row r="190" spans="1:9" ht="13.5" customHeight="1">
      <c r="A190" s="19">
        <v>240</v>
      </c>
      <c r="B190" s="139"/>
      <c r="C190" s="139"/>
      <c r="D190" s="30" t="s">
        <v>161</v>
      </c>
      <c r="F190" s="19">
        <v>378</v>
      </c>
      <c r="H190" s="139"/>
      <c r="I190" s="30" t="s">
        <v>143</v>
      </c>
    </row>
    <row r="191" spans="1:9" ht="13.5" customHeight="1">
      <c r="A191" s="19">
        <v>241</v>
      </c>
      <c r="B191" s="139"/>
      <c r="C191" s="139"/>
      <c r="D191" s="30" t="s">
        <v>162</v>
      </c>
      <c r="F191" s="19">
        <v>379</v>
      </c>
      <c r="H191" s="139"/>
      <c r="I191" s="30" t="s">
        <v>145</v>
      </c>
    </row>
    <row r="192" spans="1:9" ht="13.5" customHeight="1">
      <c r="A192" s="19">
        <v>242</v>
      </c>
      <c r="B192" s="139"/>
      <c r="C192" s="139"/>
      <c r="D192" s="30" t="s">
        <v>164</v>
      </c>
      <c r="F192" s="19">
        <v>380</v>
      </c>
      <c r="H192" s="139"/>
      <c r="I192" s="30" t="s">
        <v>147</v>
      </c>
    </row>
    <row r="193" spans="1:9" ht="13.5" customHeight="1">
      <c r="A193" s="19">
        <v>243</v>
      </c>
      <c r="B193" s="139"/>
      <c r="C193" s="139"/>
      <c r="D193" s="30" t="s">
        <v>165</v>
      </c>
      <c r="F193" s="19">
        <v>381</v>
      </c>
      <c r="H193" s="139"/>
      <c r="I193" s="30" t="s">
        <v>149</v>
      </c>
    </row>
    <row r="194" spans="1:9" ht="13.5" customHeight="1">
      <c r="A194" s="19">
        <v>244</v>
      </c>
      <c r="B194" s="139"/>
      <c r="C194" s="139"/>
      <c r="D194" s="30" t="s">
        <v>167</v>
      </c>
      <c r="F194" s="19">
        <v>382</v>
      </c>
      <c r="H194" s="139"/>
      <c r="I194" s="30" t="s">
        <v>151</v>
      </c>
    </row>
    <row r="195" spans="1:9" ht="13.5" customHeight="1">
      <c r="A195" s="19">
        <v>245</v>
      </c>
      <c r="B195" s="139"/>
      <c r="C195" s="139"/>
      <c r="D195" s="30" t="s">
        <v>169</v>
      </c>
      <c r="F195" s="19">
        <v>383</v>
      </c>
      <c r="H195" s="139"/>
      <c r="I195" s="30" t="s">
        <v>155</v>
      </c>
    </row>
    <row r="196" spans="1:9" ht="13.5" customHeight="1">
      <c r="A196" s="19">
        <v>246</v>
      </c>
      <c r="B196" s="139"/>
      <c r="C196" s="139"/>
      <c r="D196" s="30" t="s">
        <v>170</v>
      </c>
      <c r="F196" s="19">
        <v>384</v>
      </c>
      <c r="H196" s="139"/>
      <c r="I196" s="30" t="s">
        <v>156</v>
      </c>
    </row>
    <row r="197" spans="1:9" ht="13.5" customHeight="1">
      <c r="A197" s="19">
        <v>247</v>
      </c>
      <c r="B197" s="139"/>
      <c r="C197" s="155" t="s">
        <v>206</v>
      </c>
      <c r="D197" s="30" t="s">
        <v>133</v>
      </c>
      <c r="F197" s="19">
        <v>385</v>
      </c>
      <c r="H197" s="139"/>
      <c r="I197" s="30" t="s">
        <v>158</v>
      </c>
    </row>
    <row r="198" spans="1:9" ht="13.5" customHeight="1">
      <c r="A198" s="19">
        <v>248</v>
      </c>
      <c r="B198" s="139"/>
      <c r="C198" s="139"/>
      <c r="D198" s="30" t="s">
        <v>135</v>
      </c>
      <c r="F198" s="19">
        <v>386</v>
      </c>
      <c r="H198" s="139"/>
      <c r="I198" s="30" t="s">
        <v>159</v>
      </c>
    </row>
    <row r="199" spans="1:9" ht="13.5" customHeight="1">
      <c r="A199" s="19">
        <v>249</v>
      </c>
      <c r="B199" s="139"/>
      <c r="C199" s="139"/>
      <c r="D199" s="30" t="s">
        <v>137</v>
      </c>
      <c r="F199" s="19">
        <v>387</v>
      </c>
      <c r="H199" s="139"/>
      <c r="I199" s="30" t="s">
        <v>161</v>
      </c>
    </row>
    <row r="200" spans="1:9" ht="13.5" customHeight="1">
      <c r="A200" s="19">
        <v>250</v>
      </c>
      <c r="B200" s="139"/>
      <c r="C200" s="139"/>
      <c r="D200" s="30" t="s">
        <v>77</v>
      </c>
      <c r="F200" s="19">
        <v>388</v>
      </c>
      <c r="H200" s="139"/>
      <c r="I200" s="30" t="s">
        <v>162</v>
      </c>
    </row>
    <row r="201" spans="1:9" ht="13.5" customHeight="1">
      <c r="A201" s="19">
        <v>251</v>
      </c>
      <c r="B201" s="139"/>
      <c r="C201" s="139"/>
      <c r="D201" s="30" t="s">
        <v>141</v>
      </c>
      <c r="F201" s="19">
        <v>389</v>
      </c>
      <c r="H201" s="139"/>
      <c r="I201" s="30" t="s">
        <v>164</v>
      </c>
    </row>
    <row r="202" spans="1:9" ht="13.5" customHeight="1">
      <c r="A202" s="19">
        <v>252</v>
      </c>
      <c r="B202" s="139"/>
      <c r="C202" s="139"/>
      <c r="D202" s="30" t="s">
        <v>143</v>
      </c>
      <c r="F202" s="19">
        <v>390</v>
      </c>
      <c r="H202" s="139"/>
      <c r="I202" s="30" t="s">
        <v>165</v>
      </c>
    </row>
    <row r="203" spans="1:9" ht="13.5" customHeight="1">
      <c r="A203" s="19">
        <v>253</v>
      </c>
      <c r="B203" s="139"/>
      <c r="C203" s="139"/>
      <c r="D203" s="30" t="s">
        <v>145</v>
      </c>
      <c r="F203" s="19">
        <v>391</v>
      </c>
      <c r="H203" s="139"/>
      <c r="I203" s="30" t="s">
        <v>167</v>
      </c>
    </row>
    <row r="204" spans="1:9" ht="13.5" customHeight="1">
      <c r="A204" s="19">
        <v>254</v>
      </c>
      <c r="B204" s="139"/>
      <c r="C204" s="139"/>
      <c r="D204" s="30" t="s">
        <v>147</v>
      </c>
      <c r="F204" s="19">
        <v>392</v>
      </c>
      <c r="H204" s="139"/>
      <c r="I204" s="30" t="s">
        <v>169</v>
      </c>
    </row>
    <row r="205" spans="1:9" ht="13.5" customHeight="1">
      <c r="A205" s="19">
        <v>255</v>
      </c>
      <c r="B205" s="139"/>
      <c r="C205" s="139"/>
      <c r="D205" s="30" t="s">
        <v>149</v>
      </c>
      <c r="F205" s="19">
        <v>393</v>
      </c>
      <c r="H205" s="139"/>
      <c r="I205" s="30" t="s">
        <v>170</v>
      </c>
    </row>
    <row r="206" spans="1:9" ht="13.5" customHeight="1">
      <c r="A206" s="19">
        <v>256</v>
      </c>
      <c r="B206" s="139"/>
      <c r="C206" s="139"/>
      <c r="D206" s="30" t="s">
        <v>151</v>
      </c>
      <c r="F206" s="19">
        <v>394</v>
      </c>
      <c r="G206" s="20" t="s">
        <v>29</v>
      </c>
      <c r="H206" s="29" t="s">
        <v>39</v>
      </c>
      <c r="I206" s="30" t="s">
        <v>39</v>
      </c>
    </row>
    <row r="207" spans="1:9" ht="13.5" customHeight="1">
      <c r="A207" s="19">
        <v>257</v>
      </c>
      <c r="B207" s="139"/>
      <c r="C207" s="139"/>
      <c r="D207" s="30" t="s">
        <v>155</v>
      </c>
      <c r="F207" s="19">
        <v>395</v>
      </c>
      <c r="G207" s="20" t="s">
        <v>31</v>
      </c>
      <c r="H207" s="29" t="s">
        <v>39</v>
      </c>
      <c r="I207" s="30" t="s">
        <v>39</v>
      </c>
    </row>
    <row r="208" spans="1:9" ht="13.5" customHeight="1">
      <c r="A208" s="19">
        <v>258</v>
      </c>
      <c r="B208" s="139"/>
      <c r="C208" s="139"/>
      <c r="D208" s="30" t="s">
        <v>156</v>
      </c>
      <c r="F208" s="19">
        <v>396</v>
      </c>
      <c r="G208" s="20" t="s">
        <v>33</v>
      </c>
      <c r="H208" s="29" t="s">
        <v>39</v>
      </c>
      <c r="I208" s="30" t="s">
        <v>39</v>
      </c>
    </row>
    <row r="209" spans="1:10" ht="13.5" customHeight="1">
      <c r="A209" s="19">
        <v>259</v>
      </c>
      <c r="B209" s="139"/>
      <c r="C209" s="139"/>
      <c r="D209" s="30" t="s">
        <v>158</v>
      </c>
      <c r="F209" s="19">
        <v>397</v>
      </c>
      <c r="G209" s="20" t="s">
        <v>35</v>
      </c>
      <c r="H209" s="29" t="s">
        <v>39</v>
      </c>
      <c r="I209" s="30" t="s">
        <v>39</v>
      </c>
    </row>
    <row r="210" spans="1:10" ht="13.5" customHeight="1">
      <c r="A210" s="19">
        <v>260</v>
      </c>
      <c r="B210" s="139"/>
      <c r="C210" s="139"/>
      <c r="D210" s="30" t="s">
        <v>159</v>
      </c>
      <c r="F210" s="19">
        <v>398</v>
      </c>
      <c r="G210" s="20" t="s">
        <v>71</v>
      </c>
      <c r="H210" s="29" t="s">
        <v>39</v>
      </c>
      <c r="I210" s="30" t="s">
        <v>39</v>
      </c>
    </row>
    <row r="211" spans="1:10" ht="13.5" customHeight="1">
      <c r="A211" s="19">
        <v>261</v>
      </c>
      <c r="B211" s="139"/>
      <c r="C211" s="139"/>
      <c r="D211" s="30" t="s">
        <v>161</v>
      </c>
      <c r="F211" s="19">
        <v>399</v>
      </c>
      <c r="G211" s="20" t="s">
        <v>126</v>
      </c>
    </row>
    <row r="212" spans="1:10" ht="13.5" customHeight="1">
      <c r="A212" s="19">
        <v>262</v>
      </c>
      <c r="B212" s="139"/>
      <c r="C212" s="139"/>
      <c r="D212" s="30" t="s">
        <v>162</v>
      </c>
      <c r="F212" s="19">
        <v>400</v>
      </c>
      <c r="G212" s="20" t="s">
        <v>127</v>
      </c>
      <c r="H212" s="29" t="s">
        <v>39</v>
      </c>
      <c r="I212" s="30" t="s">
        <v>39</v>
      </c>
    </row>
    <row r="213" spans="1:10" ht="13.5" customHeight="1">
      <c r="A213" s="19">
        <v>263</v>
      </c>
      <c r="B213" s="139"/>
      <c r="C213" s="139"/>
      <c r="D213" s="30" t="s">
        <v>164</v>
      </c>
      <c r="F213" s="19">
        <v>401</v>
      </c>
      <c r="G213" s="20" t="s">
        <v>207</v>
      </c>
      <c r="H213" s="29" t="s">
        <v>39</v>
      </c>
      <c r="I213" s="30" t="s">
        <v>39</v>
      </c>
    </row>
    <row r="214" spans="1:10" ht="13.5" customHeight="1">
      <c r="A214" s="19">
        <v>264</v>
      </c>
      <c r="B214" s="139"/>
      <c r="C214" s="139"/>
      <c r="D214" s="30" t="s">
        <v>165</v>
      </c>
      <c r="F214" s="19">
        <v>402</v>
      </c>
      <c r="G214" s="20" t="s">
        <v>208</v>
      </c>
      <c r="H214" s="29" t="s">
        <v>39</v>
      </c>
      <c r="I214" s="30" t="s">
        <v>39</v>
      </c>
    </row>
    <row r="215" spans="1:10" ht="13.5" customHeight="1">
      <c r="A215" s="19">
        <v>265</v>
      </c>
      <c r="B215" s="139"/>
      <c r="C215" s="139"/>
      <c r="D215" s="30" t="s">
        <v>167</v>
      </c>
      <c r="F215" s="19">
        <v>403</v>
      </c>
      <c r="G215" s="20" t="s">
        <v>209</v>
      </c>
      <c r="H215" s="29" t="s">
        <v>39</v>
      </c>
      <c r="I215" s="30" t="s">
        <v>39</v>
      </c>
    </row>
    <row r="216" spans="1:10" ht="13.5" customHeight="1">
      <c r="A216" s="19">
        <v>266</v>
      </c>
      <c r="B216" s="139"/>
      <c r="C216" s="139"/>
      <c r="D216" s="30" t="s">
        <v>169</v>
      </c>
      <c r="F216" s="19">
        <v>404</v>
      </c>
      <c r="G216" s="20" t="s">
        <v>210</v>
      </c>
      <c r="H216" s="29" t="s">
        <v>39</v>
      </c>
      <c r="I216" s="30" t="s">
        <v>39</v>
      </c>
    </row>
    <row r="217" spans="1:10" ht="14.25" customHeight="1">
      <c r="A217" s="23">
        <v>267</v>
      </c>
      <c r="B217" s="139"/>
      <c r="C217" s="139"/>
      <c r="D217" s="33" t="s">
        <v>170</v>
      </c>
      <c r="F217" s="23">
        <v>405</v>
      </c>
      <c r="G217" s="37" t="s">
        <v>211</v>
      </c>
      <c r="H217" s="32" t="s">
        <v>39</v>
      </c>
      <c r="I217" s="33" t="s">
        <v>39</v>
      </c>
    </row>
    <row r="218" spans="1:10" ht="14.25" customHeight="1">
      <c r="A218" s="147" t="s">
        <v>212</v>
      </c>
      <c r="B218" s="139"/>
      <c r="C218" s="139"/>
      <c r="D218" s="139"/>
      <c r="E218" s="139"/>
      <c r="F218" s="139"/>
      <c r="G218" s="139"/>
      <c r="H218" s="139"/>
      <c r="I218" s="139"/>
      <c r="J218" s="139"/>
    </row>
    <row r="219" spans="1:10" ht="13.5" customHeight="1">
      <c r="A219" s="24">
        <v>406</v>
      </c>
      <c r="B219" s="156" t="s">
        <v>213</v>
      </c>
      <c r="C219" s="40" t="s">
        <v>214</v>
      </c>
      <c r="D219" s="27" t="s">
        <v>39</v>
      </c>
      <c r="E219" s="41" t="s">
        <v>215</v>
      </c>
      <c r="F219" s="24">
        <v>414</v>
      </c>
      <c r="G219" s="156" t="s">
        <v>213</v>
      </c>
      <c r="H219" s="26" t="s">
        <v>216</v>
      </c>
      <c r="I219" s="27" t="s">
        <v>39</v>
      </c>
    </row>
    <row r="220" spans="1:10" ht="13.5" customHeight="1">
      <c r="A220" s="19">
        <v>407</v>
      </c>
      <c r="B220" s="139"/>
      <c r="C220" s="29" t="s">
        <v>217</v>
      </c>
      <c r="D220" s="30" t="s">
        <v>39</v>
      </c>
      <c r="F220" s="19">
        <v>415</v>
      </c>
      <c r="G220" s="139"/>
      <c r="H220" s="29" t="s">
        <v>218</v>
      </c>
      <c r="I220" s="30" t="s">
        <v>39</v>
      </c>
    </row>
    <row r="221" spans="1:10" ht="13.5" customHeight="1">
      <c r="A221" s="19">
        <v>408</v>
      </c>
      <c r="B221" s="139"/>
      <c r="C221" s="29" t="s">
        <v>219</v>
      </c>
      <c r="D221" s="30" t="s">
        <v>39</v>
      </c>
      <c r="F221" s="19">
        <v>416</v>
      </c>
      <c r="G221" s="20" t="s">
        <v>42</v>
      </c>
      <c r="H221" s="29" t="s">
        <v>39</v>
      </c>
      <c r="I221" s="30" t="s">
        <v>39</v>
      </c>
    </row>
    <row r="222" spans="1:10" ht="13.5" customHeight="1">
      <c r="A222" s="19">
        <v>409</v>
      </c>
      <c r="B222" s="139"/>
      <c r="C222" s="29" t="s">
        <v>220</v>
      </c>
      <c r="D222" s="30" t="s">
        <v>39</v>
      </c>
      <c r="F222" s="19">
        <v>417</v>
      </c>
      <c r="G222" s="20" t="s">
        <v>44</v>
      </c>
      <c r="H222" s="29" t="s">
        <v>39</v>
      </c>
      <c r="I222" s="30" t="s">
        <v>39</v>
      </c>
    </row>
    <row r="223" spans="1:10" ht="13.5" customHeight="1">
      <c r="A223" s="19">
        <v>410</v>
      </c>
      <c r="B223" s="139"/>
      <c r="C223" s="29" t="s">
        <v>221</v>
      </c>
      <c r="D223" s="30" t="s">
        <v>39</v>
      </c>
      <c r="F223" s="19">
        <v>418</v>
      </c>
      <c r="G223" s="20" t="s">
        <v>46</v>
      </c>
      <c r="H223" s="29" t="s">
        <v>39</v>
      </c>
      <c r="I223" s="30" t="s">
        <v>39</v>
      </c>
    </row>
    <row r="224" spans="1:10" ht="13.5" customHeight="1">
      <c r="A224" s="19">
        <v>411</v>
      </c>
      <c r="B224" s="139"/>
      <c r="C224" s="29" t="s">
        <v>222</v>
      </c>
      <c r="D224" s="30" t="s">
        <v>39</v>
      </c>
      <c r="F224" s="19">
        <v>419</v>
      </c>
      <c r="G224" s="20" t="s">
        <v>48</v>
      </c>
      <c r="H224" s="29" t="s">
        <v>39</v>
      </c>
      <c r="I224" s="30" t="s">
        <v>39</v>
      </c>
    </row>
    <row r="225" spans="1:10" ht="13.5" customHeight="1">
      <c r="A225" s="19">
        <v>412</v>
      </c>
      <c r="B225" s="139"/>
      <c r="C225" s="29" t="s">
        <v>223</v>
      </c>
      <c r="D225" s="30" t="s">
        <v>39</v>
      </c>
      <c r="E225" s="42" t="s">
        <v>224</v>
      </c>
      <c r="F225" s="19">
        <v>420</v>
      </c>
      <c r="G225" s="20" t="s">
        <v>225</v>
      </c>
      <c r="H225" s="29" t="s">
        <v>39</v>
      </c>
      <c r="I225" s="30" t="s">
        <v>39</v>
      </c>
    </row>
    <row r="226" spans="1:10" ht="14.25" customHeight="1">
      <c r="A226" s="23">
        <v>413</v>
      </c>
      <c r="B226" s="139"/>
      <c r="C226" s="32" t="s">
        <v>226</v>
      </c>
      <c r="D226" s="33" t="s">
        <v>39</v>
      </c>
      <c r="F226" s="23">
        <v>421</v>
      </c>
      <c r="G226" s="37" t="s">
        <v>227</v>
      </c>
      <c r="H226" s="32" t="s">
        <v>39</v>
      </c>
      <c r="I226" s="33" t="s">
        <v>39</v>
      </c>
    </row>
    <row r="227" spans="1:10" ht="14.25" customHeight="1">
      <c r="A227" s="147" t="s">
        <v>228</v>
      </c>
      <c r="B227" s="139"/>
      <c r="C227" s="139"/>
      <c r="D227" s="139"/>
      <c r="E227" s="139"/>
      <c r="F227" s="139"/>
      <c r="G227" s="139"/>
      <c r="H227" s="139"/>
      <c r="I227" s="139"/>
      <c r="J227" s="139"/>
    </row>
    <row r="228" spans="1:10" ht="13.5" customHeight="1">
      <c r="A228" s="24">
        <v>422</v>
      </c>
      <c r="B228" s="156" t="s">
        <v>228</v>
      </c>
      <c r="C228" s="43" t="s">
        <v>229</v>
      </c>
      <c r="D228" s="27" t="s">
        <v>39</v>
      </c>
      <c r="F228" s="24">
        <v>427</v>
      </c>
      <c r="G228" s="25" t="s">
        <v>29</v>
      </c>
      <c r="I228" s="27" t="s">
        <v>39</v>
      </c>
    </row>
    <row r="229" spans="1:10" ht="13.5" customHeight="1">
      <c r="A229" s="19">
        <v>423</v>
      </c>
      <c r="B229" s="139"/>
      <c r="C229" s="44" t="s">
        <v>230</v>
      </c>
      <c r="D229" s="30" t="s">
        <v>39</v>
      </c>
      <c r="F229" s="19">
        <v>428</v>
      </c>
      <c r="G229" s="28" t="s">
        <v>31</v>
      </c>
      <c r="H229" s="29" t="s">
        <v>39</v>
      </c>
      <c r="I229" s="30" t="s">
        <v>39</v>
      </c>
    </row>
    <row r="230" spans="1:10" ht="13.5" customHeight="1">
      <c r="A230" s="19">
        <v>424</v>
      </c>
      <c r="B230" s="139"/>
      <c r="C230" s="44" t="s">
        <v>231</v>
      </c>
      <c r="D230" s="30" t="s">
        <v>39</v>
      </c>
      <c r="F230" s="19">
        <v>429</v>
      </c>
      <c r="G230" s="20" t="s">
        <v>33</v>
      </c>
      <c r="H230" s="29" t="s">
        <v>39</v>
      </c>
      <c r="I230" s="30" t="s">
        <v>39</v>
      </c>
    </row>
    <row r="231" spans="1:10" ht="13.5" customHeight="1">
      <c r="A231" s="19">
        <v>425</v>
      </c>
      <c r="B231" s="139"/>
      <c r="C231" s="44" t="s">
        <v>177</v>
      </c>
      <c r="D231" s="30" t="s">
        <v>39</v>
      </c>
      <c r="F231" s="19">
        <v>430</v>
      </c>
      <c r="G231" s="20" t="s">
        <v>35</v>
      </c>
      <c r="H231" s="29" t="s">
        <v>39</v>
      </c>
      <c r="I231" s="30" t="s">
        <v>39</v>
      </c>
    </row>
    <row r="232" spans="1:10" ht="14.25" customHeight="1">
      <c r="A232" s="23">
        <v>426</v>
      </c>
      <c r="B232" s="139"/>
      <c r="C232" s="45" t="s">
        <v>232</v>
      </c>
      <c r="D232" s="33" t="s">
        <v>39</v>
      </c>
      <c r="F232" s="23">
        <v>431</v>
      </c>
      <c r="G232" s="37" t="s">
        <v>71</v>
      </c>
      <c r="H232" s="32" t="s">
        <v>39</v>
      </c>
      <c r="I232" s="33" t="s">
        <v>39</v>
      </c>
    </row>
  </sheetData>
  <sheetProtection sheet="1" objects="1" scenarios="1"/>
  <mergeCells count="74">
    <mergeCell ref="A227:J227"/>
    <mergeCell ref="B228:B232"/>
    <mergeCell ref="C176:C196"/>
    <mergeCell ref="H185:H205"/>
    <mergeCell ref="C197:C217"/>
    <mergeCell ref="A218:J218"/>
    <mergeCell ref="B219:B226"/>
    <mergeCell ref="G219:G220"/>
    <mergeCell ref="A79:J79"/>
    <mergeCell ref="B80:B82"/>
    <mergeCell ref="H80:H100"/>
    <mergeCell ref="B83:B89"/>
    <mergeCell ref="B90:B97"/>
    <mergeCell ref="B98:B104"/>
    <mergeCell ref="H101:H121"/>
    <mergeCell ref="B105:B112"/>
    <mergeCell ref="B113:B116"/>
    <mergeCell ref="B117:B119"/>
    <mergeCell ref="B120:B141"/>
    <mergeCell ref="H122:H142"/>
    <mergeCell ref="B142:B217"/>
    <mergeCell ref="H143:H163"/>
    <mergeCell ref="C155:C175"/>
    <mergeCell ref="H164:H184"/>
    <mergeCell ref="B63:B64"/>
    <mergeCell ref="B67:B68"/>
    <mergeCell ref="G69:G70"/>
    <mergeCell ref="B75:B76"/>
    <mergeCell ref="B77:B78"/>
    <mergeCell ref="A44:J44"/>
    <mergeCell ref="H45:H46"/>
    <mergeCell ref="C54:C55"/>
    <mergeCell ref="A56:J56"/>
    <mergeCell ref="A60:J60"/>
    <mergeCell ref="A23:J23"/>
    <mergeCell ref="B24:D24"/>
    <mergeCell ref="G24:I24"/>
    <mergeCell ref="A25:J25"/>
    <mergeCell ref="A31:J31"/>
    <mergeCell ref="B19:D19"/>
    <mergeCell ref="G19:I19"/>
    <mergeCell ref="B20:D20"/>
    <mergeCell ref="G20:I20"/>
    <mergeCell ref="B21:D21"/>
    <mergeCell ref="G21:I21"/>
    <mergeCell ref="B16:D16"/>
    <mergeCell ref="G16:I16"/>
    <mergeCell ref="B17:D17"/>
    <mergeCell ref="G17:I17"/>
    <mergeCell ref="G18:I18"/>
    <mergeCell ref="B13:D13"/>
    <mergeCell ref="G13:I13"/>
    <mergeCell ref="B14:D14"/>
    <mergeCell ref="G14:I14"/>
    <mergeCell ref="B15:D15"/>
    <mergeCell ref="G15:I15"/>
    <mergeCell ref="B10:D10"/>
    <mergeCell ref="G10:I10"/>
    <mergeCell ref="B11:D11"/>
    <mergeCell ref="G11:I11"/>
    <mergeCell ref="B12:D12"/>
    <mergeCell ref="G12:I12"/>
    <mergeCell ref="B7:D7"/>
    <mergeCell ref="G7:I7"/>
    <mergeCell ref="B8:D8"/>
    <mergeCell ref="G8:I8"/>
    <mergeCell ref="B9:D9"/>
    <mergeCell ref="G9:I9"/>
    <mergeCell ref="A1:E3"/>
    <mergeCell ref="A4:J4"/>
    <mergeCell ref="B5:D5"/>
    <mergeCell ref="G5:I5"/>
    <mergeCell ref="B6:D6"/>
    <mergeCell ref="G6:I6"/>
  </mergeCells>
  <phoneticPr fontId="155"/>
  <dataValidations count="1">
    <dataValidation type="list" allowBlank="1" showInputMessage="1" sqref="J32" xr:uid="{380F871C-9F78-4B7B-B7EF-49047FB04B5D}">
      <formula1>補完_階床候補</formula1>
    </dataValidation>
  </dataValidations>
  <printOptions horizontalCentered="1"/>
  <pageMargins left="0.27777777777777779" right="0.27777777777777779" top="0.34722222222222221" bottom="0.34722222222222221" header="0.3" footer="0.3"/>
  <pageSetup paperSize="9" scale="56" fitToHeight="0" orientation="portrait" r:id="rId1"/>
  <headerFooter>
    <oddFooter>&amp;C推定補完版 v1 / 推定値は要照合&amp;R&amp;P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J21"/>
  <sheetViews>
    <sheetView zoomScaleNormal="100" workbookViewId="0"/>
  </sheetViews>
  <sheetFormatPr defaultColWidth="7.375" defaultRowHeight="14.25"/>
  <cols>
    <col min="1" max="2" width="7.375" customWidth="1"/>
    <col min="3" max="114" width="0.875" customWidth="1"/>
  </cols>
  <sheetData>
    <row r="1" spans="3:114" ht="14.1" customHeight="1">
      <c r="D1" s="14" t="s">
        <v>233</v>
      </c>
      <c r="DH1" s="139"/>
      <c r="DI1" s="139"/>
      <c r="DJ1" s="139"/>
    </row>
    <row r="2" spans="3:114" ht="14.1" customHeight="1">
      <c r="DH2" s="139"/>
      <c r="DI2" s="139"/>
      <c r="DJ2" s="139"/>
    </row>
    <row r="3" spans="3:114" ht="14.1" customHeight="1"/>
    <row r="4" spans="3:114" ht="14.1" customHeight="1">
      <c r="E4" s="157" t="s">
        <v>234</v>
      </c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A4" s="139"/>
      <c r="DB4" s="139"/>
      <c r="DC4" s="139"/>
      <c r="DD4" s="139"/>
      <c r="DE4" s="139"/>
      <c r="DF4" s="139"/>
      <c r="DG4" s="139"/>
      <c r="DH4" s="139"/>
    </row>
    <row r="5" spans="3:114" ht="14.1" customHeight="1"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  <c r="AW5" s="139"/>
      <c r="AX5" s="139"/>
      <c r="AY5" s="139"/>
      <c r="AZ5" s="139"/>
      <c r="BA5" s="139"/>
      <c r="BB5" s="139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  <c r="BT5" s="139"/>
      <c r="BU5" s="139"/>
      <c r="BV5" s="139"/>
      <c r="BW5" s="139"/>
      <c r="BX5" s="139"/>
      <c r="BY5" s="139"/>
      <c r="BZ5" s="139"/>
      <c r="CA5" s="139"/>
      <c r="CB5" s="139"/>
      <c r="CC5" s="139"/>
      <c r="CD5" s="139"/>
      <c r="CE5" s="139"/>
      <c r="CF5" s="139"/>
      <c r="CG5" s="139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A5" s="139"/>
      <c r="DB5" s="139"/>
      <c r="DC5" s="139"/>
      <c r="DD5" s="139"/>
      <c r="DE5" s="139"/>
      <c r="DF5" s="139"/>
      <c r="DG5" s="139"/>
      <c r="DH5" s="139"/>
    </row>
    <row r="6" spans="3:114" ht="14.1" customHeight="1"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  <c r="AW6" s="139"/>
      <c r="AX6" s="139"/>
      <c r="AY6" s="139"/>
      <c r="AZ6" s="139"/>
      <c r="BA6" s="139"/>
      <c r="BB6" s="139"/>
      <c r="BC6" s="139"/>
      <c r="BD6" s="139"/>
      <c r="BE6" s="139"/>
      <c r="BF6" s="139"/>
      <c r="BG6" s="139"/>
      <c r="BH6" s="139"/>
      <c r="BI6" s="139"/>
      <c r="BJ6" s="139"/>
      <c r="BK6" s="139"/>
      <c r="BL6" s="139"/>
      <c r="BM6" s="139"/>
      <c r="BN6" s="139"/>
      <c r="BO6" s="139"/>
      <c r="BP6" s="139"/>
      <c r="BQ6" s="139"/>
      <c r="BR6" s="139"/>
      <c r="BS6" s="139"/>
      <c r="BT6" s="139"/>
      <c r="BU6" s="139"/>
      <c r="BV6" s="139"/>
      <c r="BW6" s="139"/>
      <c r="BX6" s="139"/>
      <c r="BY6" s="139"/>
      <c r="BZ6" s="139"/>
      <c r="CA6" s="139"/>
      <c r="CB6" s="139"/>
      <c r="CC6" s="139"/>
      <c r="CD6" s="139"/>
      <c r="CE6" s="139"/>
      <c r="CF6" s="139"/>
      <c r="CG6" s="139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A6" s="139"/>
      <c r="DB6" s="139"/>
      <c r="DC6" s="139"/>
      <c r="DD6" s="139"/>
      <c r="DE6" s="139"/>
      <c r="DF6" s="139"/>
      <c r="DG6" s="139"/>
      <c r="DH6" s="139"/>
    </row>
    <row r="7" spans="3:114" ht="14.1" customHeight="1"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139"/>
      <c r="BK7" s="139"/>
      <c r="BL7" s="139"/>
      <c r="BM7" s="139"/>
      <c r="BN7" s="139"/>
      <c r="BO7" s="139"/>
      <c r="BP7" s="139"/>
      <c r="BQ7" s="139"/>
      <c r="BR7" s="139"/>
      <c r="BS7" s="139"/>
      <c r="BT7" s="139"/>
      <c r="BU7" s="139"/>
      <c r="BV7" s="139"/>
      <c r="BW7" s="139"/>
      <c r="BX7" s="139"/>
      <c r="BY7" s="139"/>
      <c r="BZ7" s="139"/>
      <c r="CA7" s="139"/>
      <c r="CB7" s="139"/>
      <c r="CC7" s="139"/>
      <c r="CD7" s="139"/>
      <c r="CE7" s="139"/>
      <c r="CF7" s="139"/>
      <c r="CG7" s="139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A7" s="139"/>
      <c r="DB7" s="139"/>
      <c r="DC7" s="139"/>
      <c r="DD7" s="139"/>
      <c r="DE7" s="139"/>
      <c r="DF7" s="139"/>
      <c r="DG7" s="139"/>
      <c r="DH7" s="139"/>
      <c r="DI7" s="139"/>
      <c r="DJ7" s="139"/>
    </row>
    <row r="8" spans="3:114" ht="14.1" customHeight="1"/>
    <row r="9" spans="3:114" ht="14.1" customHeight="1"/>
    <row r="10" spans="3:114" ht="9.9499999999999993" customHeight="1"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39"/>
      <c r="AF10" s="139"/>
      <c r="AG10" s="139"/>
      <c r="AH10" s="13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  <c r="BF10" s="139"/>
      <c r="BG10" s="139"/>
      <c r="BH10" s="139"/>
      <c r="BI10" s="139"/>
      <c r="BJ10" s="139"/>
      <c r="BK10" s="139"/>
      <c r="BL10" s="139"/>
      <c r="BM10" s="139"/>
      <c r="BN10" s="139"/>
      <c r="BO10" s="139"/>
      <c r="BP10" s="139"/>
      <c r="BQ10" s="139"/>
      <c r="BR10" s="139"/>
      <c r="BS10" s="139"/>
      <c r="BT10" s="139"/>
      <c r="BU10" s="139"/>
      <c r="BV10" s="139"/>
      <c r="BW10" s="139"/>
      <c r="BX10" s="139"/>
      <c r="BY10" s="139"/>
      <c r="BZ10" s="139"/>
      <c r="CA10" s="139"/>
      <c r="CB10" s="139"/>
      <c r="CC10" s="139"/>
      <c r="CD10" s="139"/>
      <c r="CE10" s="139"/>
      <c r="CF10" s="139"/>
      <c r="CG10" s="139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A10" s="139"/>
      <c r="DB10" s="139"/>
      <c r="DC10" s="139"/>
      <c r="DD10" s="139"/>
      <c r="DE10" s="139"/>
      <c r="DF10" s="139"/>
      <c r="DG10" s="139"/>
      <c r="DH10" s="139"/>
      <c r="DI10" s="139"/>
      <c r="DJ10" s="139"/>
    </row>
    <row r="11" spans="3:114" ht="14.1" customHeight="1">
      <c r="E11" s="158" t="s">
        <v>666</v>
      </c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59" t="s">
        <v>667</v>
      </c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0"/>
      <c r="BR11" s="160"/>
      <c r="BS11" s="160"/>
      <c r="BT11" s="160"/>
      <c r="BU11" s="160"/>
      <c r="BV11" s="160"/>
      <c r="BW11" s="160"/>
      <c r="BX11" s="160"/>
      <c r="BY11" s="160"/>
      <c r="BZ11" s="160"/>
      <c r="CB11" s="161" t="s">
        <v>1040</v>
      </c>
      <c r="CC11" s="139"/>
      <c r="CD11" s="139"/>
      <c r="CE11" s="139"/>
      <c r="CF11" s="139"/>
      <c r="CG11" s="139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A11" s="139"/>
      <c r="DB11" s="139"/>
      <c r="DC11" s="139"/>
      <c r="DD11" s="139"/>
      <c r="DE11" s="139"/>
      <c r="DF11" s="139"/>
      <c r="DG11" s="139"/>
      <c r="DH11" s="139"/>
    </row>
    <row r="12" spans="3:114" ht="14.1" customHeight="1"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60"/>
      <c r="BB12" s="160"/>
      <c r="BC12" s="160"/>
      <c r="BD12" s="160"/>
      <c r="BE12" s="160"/>
      <c r="BF12" s="160"/>
      <c r="BG12" s="160"/>
      <c r="BH12" s="160"/>
      <c r="BI12" s="160"/>
      <c r="BJ12" s="160"/>
      <c r="BK12" s="160"/>
      <c r="BL12" s="160"/>
      <c r="BM12" s="160"/>
      <c r="BN12" s="160"/>
      <c r="BO12" s="160"/>
      <c r="BP12" s="160"/>
      <c r="BQ12" s="160"/>
      <c r="BR12" s="160"/>
      <c r="BS12" s="160"/>
      <c r="BT12" s="160"/>
      <c r="BU12" s="160"/>
      <c r="BV12" s="160"/>
      <c r="BW12" s="160"/>
      <c r="BX12" s="160"/>
      <c r="BY12" s="160"/>
      <c r="BZ12" s="160"/>
      <c r="CB12" s="139"/>
      <c r="CC12" s="139"/>
      <c r="CD12" s="139"/>
      <c r="CE12" s="139"/>
      <c r="CF12" s="139"/>
      <c r="CG12" s="139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A12" s="139"/>
      <c r="DB12" s="139"/>
      <c r="DC12" s="139"/>
      <c r="DD12" s="139"/>
      <c r="DE12" s="139"/>
      <c r="DF12" s="139"/>
      <c r="DG12" s="139"/>
      <c r="DH12" s="139"/>
    </row>
    <row r="13" spans="3:114" ht="14.1" customHeight="1"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60"/>
      <c r="AF13" s="160"/>
      <c r="AG13" s="160"/>
      <c r="AH13" s="160"/>
      <c r="AI13" s="160"/>
      <c r="AJ13" s="160"/>
      <c r="AK13" s="160"/>
      <c r="AL13" s="160"/>
      <c r="AM13" s="160"/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0"/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B13" s="139"/>
      <c r="CC13" s="139"/>
      <c r="CD13" s="139"/>
      <c r="CE13" s="139"/>
      <c r="CF13" s="139"/>
      <c r="CG13" s="139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A13" s="139"/>
      <c r="DB13" s="139"/>
      <c r="DC13" s="139"/>
      <c r="DD13" s="139"/>
      <c r="DE13" s="139"/>
      <c r="DF13" s="139"/>
      <c r="DG13" s="139"/>
      <c r="DH13" s="139"/>
    </row>
    <row r="14" spans="3:114" ht="14.1" customHeight="1"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60"/>
      <c r="AF14" s="160"/>
      <c r="AG14" s="160"/>
      <c r="AH14" s="160"/>
      <c r="AI14" s="160"/>
      <c r="AJ14" s="160"/>
      <c r="AK14" s="160"/>
      <c r="AL14" s="160"/>
      <c r="AM14" s="160"/>
      <c r="AN14" s="160"/>
      <c r="AO14" s="160"/>
      <c r="AP14" s="160"/>
      <c r="AQ14" s="160"/>
      <c r="AR14" s="160"/>
      <c r="AS14" s="160"/>
      <c r="AT14" s="160"/>
      <c r="AU14" s="160"/>
      <c r="AV14" s="160"/>
      <c r="AW14" s="160"/>
      <c r="AX14" s="160"/>
      <c r="AY14" s="160"/>
      <c r="AZ14" s="160"/>
      <c r="BA14" s="160"/>
      <c r="BB14" s="160"/>
      <c r="BC14" s="160"/>
      <c r="BD14" s="160"/>
      <c r="BE14" s="160"/>
      <c r="BF14" s="160"/>
      <c r="BG14" s="160"/>
      <c r="BH14" s="160"/>
      <c r="BI14" s="160"/>
      <c r="BJ14" s="160"/>
      <c r="BK14" s="160"/>
      <c r="BL14" s="160"/>
      <c r="BM14" s="160"/>
      <c r="BN14" s="160"/>
      <c r="BO14" s="160"/>
      <c r="BP14" s="160"/>
      <c r="BQ14" s="160"/>
      <c r="BR14" s="160"/>
      <c r="BS14" s="160"/>
      <c r="BT14" s="160"/>
      <c r="BU14" s="160"/>
      <c r="BV14" s="160"/>
      <c r="BW14" s="160"/>
      <c r="BX14" s="160"/>
      <c r="BY14" s="160"/>
      <c r="BZ14" s="160"/>
      <c r="CB14" s="139"/>
      <c r="CC14" s="139"/>
      <c r="CD14" s="139"/>
      <c r="CE14" s="139"/>
      <c r="CF14" s="139"/>
      <c r="CG14" s="139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A14" s="139"/>
      <c r="DB14" s="139"/>
      <c r="DC14" s="139"/>
      <c r="DD14" s="139"/>
      <c r="DE14" s="139"/>
      <c r="DF14" s="139"/>
      <c r="DG14" s="139"/>
      <c r="DH14" s="139"/>
    </row>
    <row r="15" spans="3:114" ht="14.1" customHeight="1"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60"/>
      <c r="AF15" s="160"/>
      <c r="AG15" s="160"/>
      <c r="AH15" s="160"/>
      <c r="AI15" s="160"/>
      <c r="AJ15" s="160"/>
      <c r="AK15" s="160"/>
      <c r="AL15" s="160"/>
      <c r="AM15" s="160"/>
      <c r="AN15" s="160"/>
      <c r="AO15" s="160"/>
      <c r="AP15" s="160"/>
      <c r="AQ15" s="160"/>
      <c r="AR15" s="160"/>
      <c r="AS15" s="160"/>
      <c r="AT15" s="160"/>
      <c r="AU15" s="160"/>
      <c r="AV15" s="160"/>
      <c r="AW15" s="160"/>
      <c r="AX15" s="160"/>
      <c r="AY15" s="160"/>
      <c r="AZ15" s="160"/>
      <c r="BA15" s="160"/>
      <c r="BB15" s="160"/>
      <c r="BC15" s="160"/>
      <c r="BD15" s="160"/>
      <c r="BE15" s="160"/>
      <c r="BF15" s="160"/>
      <c r="BG15" s="160"/>
      <c r="BH15" s="160"/>
      <c r="BI15" s="160"/>
      <c r="BJ15" s="160"/>
      <c r="BK15" s="160"/>
      <c r="BL15" s="160"/>
      <c r="BM15" s="160"/>
      <c r="BN15" s="160"/>
      <c r="BO15" s="160"/>
      <c r="BP15" s="160"/>
      <c r="BQ15" s="160"/>
      <c r="BR15" s="160"/>
      <c r="BS15" s="160"/>
      <c r="BT15" s="160"/>
      <c r="BU15" s="160"/>
      <c r="BV15" s="160"/>
      <c r="BW15" s="160"/>
      <c r="BX15" s="160"/>
      <c r="BY15" s="160"/>
      <c r="BZ15" s="160"/>
      <c r="CB15" s="139"/>
      <c r="CC15" s="139"/>
      <c r="CD15" s="139"/>
      <c r="CE15" s="139"/>
      <c r="CF15" s="139"/>
      <c r="CG15" s="139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</row>
    <row r="16" spans="3:114" ht="14.1" customHeight="1"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60"/>
      <c r="AF16" s="160"/>
      <c r="AG16" s="160"/>
      <c r="AH16" s="160"/>
      <c r="AI16" s="160"/>
      <c r="AJ16" s="160"/>
      <c r="AK16" s="160"/>
      <c r="AL16" s="160"/>
      <c r="AM16" s="160"/>
      <c r="AN16" s="160"/>
      <c r="AO16" s="160"/>
      <c r="AP16" s="160"/>
      <c r="AQ16" s="160"/>
      <c r="AR16" s="160"/>
      <c r="AS16" s="160"/>
      <c r="AT16" s="160"/>
      <c r="AU16" s="160"/>
      <c r="AV16" s="160"/>
      <c r="AW16" s="160"/>
      <c r="AX16" s="160"/>
      <c r="AY16" s="160"/>
      <c r="AZ16" s="160"/>
      <c r="BA16" s="160"/>
      <c r="BB16" s="160"/>
      <c r="BC16" s="160"/>
      <c r="BD16" s="160"/>
      <c r="BE16" s="160"/>
      <c r="BF16" s="160"/>
      <c r="BG16" s="160"/>
      <c r="BH16" s="160"/>
      <c r="BI16" s="160"/>
      <c r="BJ16" s="160"/>
      <c r="BK16" s="160"/>
      <c r="BL16" s="160"/>
      <c r="BM16" s="160"/>
      <c r="BN16" s="160"/>
      <c r="BO16" s="160"/>
      <c r="BP16" s="160"/>
      <c r="BQ16" s="160"/>
      <c r="BR16" s="160"/>
      <c r="BS16" s="160"/>
      <c r="BT16" s="160"/>
      <c r="BU16" s="160"/>
      <c r="BV16" s="160"/>
      <c r="BW16" s="160"/>
      <c r="BX16" s="160"/>
      <c r="BY16" s="160"/>
      <c r="BZ16" s="160"/>
      <c r="CB16" s="139"/>
      <c r="CC16" s="139"/>
      <c r="CD16" s="139"/>
      <c r="CE16" s="139"/>
      <c r="CF16" s="139"/>
      <c r="CG16" s="139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A16" s="139"/>
      <c r="DB16" s="139"/>
      <c r="DC16" s="139"/>
      <c r="DD16" s="139"/>
      <c r="DE16" s="139"/>
      <c r="DF16" s="139"/>
      <c r="DG16" s="139"/>
      <c r="DH16" s="139"/>
    </row>
    <row r="17" spans="3:114" ht="9.9499999999999993" customHeight="1"/>
    <row r="18" spans="3:114" ht="9.9499999999999993" customHeight="1"/>
    <row r="19" spans="3:114" ht="14.1" customHeight="1"/>
    <row r="20" spans="3:114" ht="14.1" customHeight="1"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  <c r="AD20" s="139"/>
      <c r="AE20" s="139"/>
      <c r="AF20" s="139"/>
      <c r="AG20" s="139"/>
      <c r="AH20" s="139"/>
      <c r="AI20" s="139"/>
      <c r="AJ20" s="139"/>
      <c r="AK20" s="139"/>
      <c r="AL20" s="139"/>
      <c r="AM20" s="139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  <c r="BF20" s="139"/>
      <c r="BG20" s="139"/>
      <c r="BH20" s="139"/>
      <c r="BI20" s="139"/>
      <c r="BJ20" s="139"/>
      <c r="BK20" s="139"/>
      <c r="BL20" s="139"/>
      <c r="BM20" s="139"/>
      <c r="BN20" s="139"/>
      <c r="BO20" s="139"/>
      <c r="BP20" s="139"/>
      <c r="BQ20" s="139"/>
      <c r="BR20" s="139"/>
      <c r="BS20" s="139"/>
      <c r="BT20" s="139"/>
      <c r="BU20" s="139"/>
      <c r="BV20" s="139"/>
      <c r="BW20" s="139"/>
      <c r="BX20" s="139"/>
      <c r="BY20" s="139"/>
      <c r="BZ20" s="139"/>
      <c r="CA20" s="139"/>
      <c r="CB20" s="139"/>
      <c r="CC20" s="139"/>
      <c r="CD20" s="139"/>
      <c r="CE20" s="139"/>
      <c r="CF20" s="139"/>
      <c r="CG20" s="139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A20" s="139"/>
      <c r="DB20" s="139"/>
      <c r="DC20" s="139"/>
      <c r="DD20" s="139"/>
      <c r="DE20" s="139"/>
      <c r="DF20" s="139"/>
      <c r="DG20" s="139"/>
      <c r="DH20" s="139"/>
      <c r="DI20" s="139"/>
      <c r="DJ20" s="139"/>
    </row>
    <row r="21" spans="3:114" ht="14.1" customHeight="1"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  <c r="BF21" s="139"/>
      <c r="BG21" s="139"/>
      <c r="BH21" s="139"/>
      <c r="BI21" s="139"/>
      <c r="BJ21" s="139"/>
      <c r="BK21" s="139"/>
      <c r="BL21" s="139"/>
      <c r="BM21" s="139"/>
      <c r="BN21" s="139"/>
      <c r="BO21" s="139"/>
      <c r="BP21" s="139"/>
      <c r="BQ21" s="139"/>
      <c r="BR21" s="139"/>
      <c r="BS21" s="139"/>
      <c r="BT21" s="139"/>
      <c r="BU21" s="139"/>
      <c r="BV21" s="139"/>
      <c r="BW21" s="139"/>
      <c r="BX21" s="139"/>
      <c r="BY21" s="139"/>
      <c r="BZ21" s="139"/>
      <c r="CA21" s="139"/>
      <c r="CB21" s="139"/>
      <c r="CC21" s="139"/>
      <c r="CD21" s="139"/>
      <c r="CE21" s="139"/>
      <c r="CF21" s="139"/>
      <c r="CG21" s="139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A21" s="139"/>
      <c r="DB21" s="139"/>
      <c r="DC21" s="139"/>
      <c r="DD21" s="139"/>
      <c r="DE21" s="139"/>
      <c r="DF21" s="139"/>
      <c r="DG21" s="139"/>
      <c r="DH21" s="139"/>
      <c r="DI21" s="139"/>
      <c r="DJ21" s="139"/>
    </row>
  </sheetData>
  <sheetProtection sheet="1" objects="1" scenarios="1"/>
  <mergeCells count="17">
    <mergeCell ref="BQ20:BS21"/>
    <mergeCell ref="BT20:CM21"/>
    <mergeCell ref="CN20:CP21"/>
    <mergeCell ref="CQ20:DJ21"/>
    <mergeCell ref="C20:V21"/>
    <mergeCell ref="W20:Y21"/>
    <mergeCell ref="Z20:AS21"/>
    <mergeCell ref="AT20:AV21"/>
    <mergeCell ref="AW20:BP21"/>
    <mergeCell ref="DH1:DJ2"/>
    <mergeCell ref="E4:DH6"/>
    <mergeCell ref="C7:DJ7"/>
    <mergeCell ref="C10:DJ10"/>
    <mergeCell ref="E11:AD13"/>
    <mergeCell ref="AE11:BZ16"/>
    <mergeCell ref="CB11:DH16"/>
    <mergeCell ref="E14:AD16"/>
  </mergeCells>
  <phoneticPr fontId="155"/>
  <hyperlinks>
    <hyperlink ref="CB11" location="'入力表'!A1" display="入力表へ" xr:uid="{A975208E-3A25-4E90-A017-076A7C914EE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AA71"/>
  <sheetViews>
    <sheetView zoomScaleNormal="100" workbookViewId="0"/>
  </sheetViews>
  <sheetFormatPr defaultColWidth="4" defaultRowHeight="14.25"/>
  <cols>
    <col min="1" max="21" width="4" customWidth="1"/>
  </cols>
  <sheetData>
    <row r="1" spans="2:27" ht="15" customHeight="1"/>
    <row r="2" spans="2:27" ht="15" customHeight="1">
      <c r="B2" s="162" t="s">
        <v>235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63" t="s">
        <v>236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2:27" ht="15" customHeight="1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2:27" ht="15" customHeight="1"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2:27" ht="15" customHeight="1"/>
    <row r="6" spans="2:27" ht="15" customHeight="1"/>
    <row r="7" spans="2:27" ht="15" customHeight="1"/>
    <row r="8" spans="2:27" ht="15" customHeight="1">
      <c r="B8" s="164" t="s">
        <v>237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65" t="s">
        <v>668</v>
      </c>
      <c r="V8" s="139"/>
      <c r="W8" s="139"/>
      <c r="X8" s="139"/>
      <c r="Y8" s="139"/>
      <c r="Z8" s="139"/>
      <c r="AA8" s="139"/>
    </row>
    <row r="9" spans="2:27" ht="15" customHeight="1"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</row>
    <row r="10" spans="2:27" ht="15" customHeight="1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</row>
    <row r="11" spans="2:27" ht="15" customHeight="1">
      <c r="B11" s="166" t="s">
        <v>238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</row>
    <row r="12" spans="2:27" ht="15" customHeight="1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</row>
    <row r="13" spans="2:27" ht="15" customHeight="1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</row>
    <row r="14" spans="2:27" ht="15" customHeight="1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</row>
    <row r="15" spans="2:27" ht="15" customHeight="1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</row>
    <row r="16" spans="2:27" ht="1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</row>
    <row r="17" spans="2:27" ht="1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</row>
    <row r="18" spans="2:27" ht="1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</row>
    <row r="19" spans="2:27" ht="15" customHeight="1">
      <c r="B19" s="164" t="s">
        <v>239</v>
      </c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65" t="s">
        <v>668</v>
      </c>
      <c r="V19" s="139"/>
      <c r="W19" s="139"/>
      <c r="X19" s="139"/>
      <c r="Y19" s="139"/>
      <c r="Z19" s="139"/>
      <c r="AA19" s="139"/>
    </row>
    <row r="20" spans="2:27" ht="15" customHeight="1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</row>
    <row r="21" spans="2:27" ht="15" customHeight="1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</row>
    <row r="22" spans="2:27" ht="15" customHeight="1">
      <c r="B22" s="167" t="s">
        <v>240</v>
      </c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</row>
    <row r="23" spans="2:27" ht="15" customHeight="1"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</row>
    <row r="24" spans="2:27" ht="15" customHeight="1"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</row>
    <row r="25" spans="2:27" ht="15" customHeight="1"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</row>
    <row r="26" spans="2:27" ht="15" customHeight="1"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</row>
    <row r="27" spans="2:27" ht="15" customHeight="1"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</row>
    <row r="28" spans="2:27" ht="15" customHeight="1"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</row>
    <row r="29" spans="2:27" ht="15" customHeight="1"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</row>
    <row r="30" spans="2:27" ht="15" customHeight="1">
      <c r="B30" s="139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</row>
    <row r="31" spans="2:27" ht="15" customHeight="1"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</row>
    <row r="32" spans="2:27" ht="15" customHeight="1">
      <c r="B32" s="164" t="s">
        <v>241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65" t="s">
        <v>668</v>
      </c>
      <c r="V32" s="139"/>
      <c r="W32" s="139"/>
      <c r="X32" s="139"/>
      <c r="Y32" s="139"/>
      <c r="Z32" s="139"/>
      <c r="AA32" s="139"/>
    </row>
    <row r="33" spans="2:27" ht="15" customHeight="1"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</row>
    <row r="34" spans="2:27" ht="15" customHeight="1"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</row>
    <row r="35" spans="2:27" ht="15" customHeight="1">
      <c r="B35" s="166" t="s">
        <v>242</v>
      </c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</row>
    <row r="36" spans="2:27" ht="15" customHeight="1"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</row>
    <row r="37" spans="2:27" ht="15" customHeight="1"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</row>
    <row r="38" spans="2:27" ht="15" customHeight="1"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</row>
    <row r="39" spans="2:27" ht="15" customHeight="1"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</row>
    <row r="40" spans="2:27" ht="15" customHeight="1"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</row>
    <row r="41" spans="2:27" ht="15" customHeight="1">
      <c r="B41" s="168" t="s">
        <v>243</v>
      </c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 spans="2:27" ht="15" customHeight="1"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65" t="s">
        <v>668</v>
      </c>
      <c r="V42" s="139"/>
      <c r="W42" s="139"/>
      <c r="X42" s="139"/>
      <c r="Y42" s="139"/>
      <c r="Z42" s="139"/>
      <c r="AA42" s="139"/>
    </row>
    <row r="43" spans="2:27" ht="15" customHeight="1"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</row>
    <row r="44" spans="2:27" ht="15" customHeight="1"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</row>
    <row r="45" spans="2:27" ht="15" customHeight="1"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</row>
    <row r="46" spans="2:27" ht="15" customHeight="1">
      <c r="B46" s="169" t="s">
        <v>244</v>
      </c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</row>
    <row r="47" spans="2:27" ht="15" customHeight="1"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</row>
    <row r="48" spans="2:27" ht="15" customHeight="1"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</row>
    <row r="49" spans="2:27" ht="15" customHeight="1"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</row>
    <row r="50" spans="2:27" ht="15" customHeight="1">
      <c r="B50" s="139"/>
      <c r="C50" s="139"/>
      <c r="D50" s="139"/>
      <c r="E50" s="139"/>
      <c r="F50" s="139"/>
      <c r="G50" s="139"/>
      <c r="H50" s="139"/>
      <c r="I50" s="139"/>
      <c r="J50" s="139"/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</row>
    <row r="51" spans="2:27" ht="15" customHeight="1"/>
    <row r="52" spans="2:27" ht="15" customHeight="1">
      <c r="B52" s="164" t="s">
        <v>245</v>
      </c>
      <c r="C52" s="139"/>
      <c r="D52" s="139"/>
      <c r="E52" s="139"/>
      <c r="F52" s="139"/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70" t="s">
        <v>1039</v>
      </c>
      <c r="V52" s="139"/>
      <c r="W52" s="139"/>
      <c r="X52" s="139"/>
      <c r="Y52" s="139"/>
      <c r="Z52" s="139"/>
      <c r="AA52" s="139"/>
    </row>
    <row r="53" spans="2:27" ht="15" customHeight="1"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</row>
    <row r="54" spans="2:27" ht="15" customHeight="1">
      <c r="B54" s="139"/>
      <c r="C54" s="139"/>
      <c r="D54" s="139"/>
      <c r="E54" s="139"/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</row>
    <row r="55" spans="2:27" ht="15" customHeight="1">
      <c r="B55" s="166" t="s">
        <v>246</v>
      </c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</row>
    <row r="56" spans="2:27" ht="15" customHeight="1"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</row>
    <row r="57" spans="2:27" ht="15" customHeight="1"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</row>
    <row r="58" spans="2:27" ht="15" customHeight="1">
      <c r="B58" s="139"/>
      <c r="C58" s="139"/>
      <c r="D58" s="139"/>
      <c r="E58" s="139"/>
      <c r="F58" s="139"/>
      <c r="G58" s="139"/>
      <c r="H58" s="139"/>
      <c r="I58" s="139"/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</row>
    <row r="59" spans="2:27" ht="15" customHeight="1"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</row>
    <row r="60" spans="2:27" ht="15" customHeight="1"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</row>
    <row r="61" spans="2:27" ht="15" customHeight="1"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</row>
    <row r="62" spans="2:27" ht="15" customHeight="1">
      <c r="B62" s="164" t="s">
        <v>247</v>
      </c>
      <c r="C62" s="139"/>
      <c r="D62" s="139"/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65" t="s">
        <v>668</v>
      </c>
      <c r="V62" s="139"/>
      <c r="W62" s="139"/>
      <c r="X62" s="139"/>
      <c r="Y62" s="139"/>
      <c r="Z62" s="139"/>
      <c r="AA62" s="139"/>
    </row>
    <row r="63" spans="2:27" ht="15" customHeight="1">
      <c r="B63" s="139"/>
      <c r="C63" s="139"/>
      <c r="D63" s="139"/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  <c r="Z63" s="139"/>
      <c r="AA63" s="139"/>
    </row>
    <row r="64" spans="2:27" ht="15" customHeight="1"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  <c r="Z64" s="139"/>
      <c r="AA64" s="139"/>
    </row>
    <row r="65" spans="2:27" ht="15" customHeight="1">
      <c r="B65" s="166" t="s">
        <v>248</v>
      </c>
      <c r="C65" s="139"/>
      <c r="D65" s="139"/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</row>
    <row r="66" spans="2:27"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</row>
    <row r="67" spans="2:27"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</row>
    <row r="68" spans="2:27">
      <c r="B68" s="139"/>
      <c r="C68" s="139"/>
      <c r="D68" s="139"/>
      <c r="E68" s="139"/>
      <c r="F68" s="139"/>
      <c r="G68" s="139"/>
      <c r="H68" s="139"/>
      <c r="I68" s="139"/>
      <c r="J68" s="139"/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  <c r="Z68" s="139"/>
      <c r="AA68" s="139"/>
    </row>
    <row r="69" spans="2:27"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</row>
    <row r="70" spans="2:27"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</row>
    <row r="71" spans="2:27"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</row>
  </sheetData>
  <sheetProtection sheet="1" objects="1" scenarios="1"/>
  <mergeCells count="20">
    <mergeCell ref="B55:AA61"/>
    <mergeCell ref="B62:T64"/>
    <mergeCell ref="U62:AA64"/>
    <mergeCell ref="B65:AA71"/>
    <mergeCell ref="B35:AA40"/>
    <mergeCell ref="B41:T45"/>
    <mergeCell ref="U42:AA44"/>
    <mergeCell ref="B46:AA50"/>
    <mergeCell ref="B52:T54"/>
    <mergeCell ref="U52:AA54"/>
    <mergeCell ref="B19:T21"/>
    <mergeCell ref="U19:AA21"/>
    <mergeCell ref="B22:AA31"/>
    <mergeCell ref="B32:T34"/>
    <mergeCell ref="U32:AA34"/>
    <mergeCell ref="B2:N4"/>
    <mergeCell ref="O2:AA4"/>
    <mergeCell ref="B8:T10"/>
    <mergeCell ref="U8:AA10"/>
    <mergeCell ref="B11:AA18"/>
  </mergeCells>
  <phoneticPr fontId="155"/>
  <hyperlinks>
    <hyperlink ref="U52" location="'塔内機器_入力①'!A1" display="ツール画面" xr:uid="{0C860E5B-C71E-40BE-86FB-D30B992C1314}"/>
  </hyperlinks>
  <printOptions horizontalCentered="1"/>
  <pageMargins left="0.27777777777777779" right="0.27777777777777779" top="0.34722222222222221" bottom="0.34722222222222221" header="0.3" footer="0.3"/>
  <pageSetup paperSize="9" scale="10" orientation="portrait" r:id="rId1"/>
  <headerFooter>
    <oddFooter>&amp;C推定補完版 v1 / 推定値は要照合&amp;R&amp;P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A24"/>
  <sheetViews>
    <sheetView zoomScaleNormal="100" workbookViewId="0"/>
  </sheetViews>
  <sheetFormatPr defaultColWidth="4" defaultRowHeight="14.25"/>
  <cols>
    <col min="1" max="15" width="4" customWidth="1"/>
  </cols>
  <sheetData>
    <row r="1" spans="2:27" ht="15" customHeight="1"/>
    <row r="2" spans="2:27" ht="15" customHeight="1">
      <c r="B2" s="162" t="s">
        <v>249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63" t="s">
        <v>250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2:27" ht="15" customHeight="1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2:27" ht="15" customHeight="1"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2:27" ht="15" customHeight="1">
      <c r="B5" s="171" t="s">
        <v>251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</row>
    <row r="6" spans="2:27"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</row>
    <row r="7" spans="2:27"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</row>
    <row r="8" spans="2:27"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</row>
    <row r="9" spans="2:27"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</row>
    <row r="10" spans="2:27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</row>
    <row r="11" spans="2:27">
      <c r="B11" s="139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</row>
    <row r="12" spans="2:27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</row>
    <row r="13" spans="2:27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</row>
    <row r="14" spans="2:27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</row>
    <row r="15" spans="2:27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</row>
    <row r="16" spans="2:27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</row>
    <row r="17" spans="2:27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</row>
    <row r="18" spans="2:27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</row>
    <row r="19" spans="2:27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</row>
    <row r="20" spans="2:27">
      <c r="B20" s="139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</row>
    <row r="21" spans="2:27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</row>
    <row r="22" spans="2:27"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</row>
    <row r="23" spans="2:27"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</row>
    <row r="24" spans="2:27"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</row>
  </sheetData>
  <sheetProtection sheet="1" objects="1" scenarios="1"/>
  <mergeCells count="3">
    <mergeCell ref="B2:N4"/>
    <mergeCell ref="O2:AA4"/>
    <mergeCell ref="B5:AA24"/>
  </mergeCells>
  <phoneticPr fontId="155"/>
  <printOptions horizontalCentered="1"/>
  <pageMargins left="0.27777777777777779" right="0.27777777777777779" top="0.34722222222222221" bottom="0.34722222222222221" header="0.3" footer="0.3"/>
  <pageSetup paperSize="9" scale="87" orientation="portrait" r:id="rId1"/>
  <headerFooter>
    <oddFooter>&amp;R&amp;P / &amp;N&amp;Cv4 / 2026-09-24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B75"/>
  <sheetViews>
    <sheetView zoomScale="85" zoomScaleNormal="85" workbookViewId="0"/>
  </sheetViews>
  <sheetFormatPr defaultColWidth="4" defaultRowHeight="14.25"/>
  <cols>
    <col min="1" max="26" width="4" customWidth="1"/>
  </cols>
  <sheetData>
    <row r="1" spans="2:28" ht="15" customHeight="1"/>
    <row r="2" spans="2:28" ht="15" customHeight="1">
      <c r="B2" s="162" t="s">
        <v>252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72" t="s">
        <v>253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2:28" ht="15" customHeight="1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2:28" ht="15" customHeight="1"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2:28" ht="15" customHeight="1"/>
    <row r="6" spans="2:28" ht="15" customHeight="1">
      <c r="B6" s="173" t="s">
        <v>254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P6" s="173" t="s">
        <v>255</v>
      </c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</row>
    <row r="7" spans="2:28" ht="15" customHeight="1"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</row>
    <row r="8" spans="2:28" ht="15" customHeight="1">
      <c r="B8" s="174" t="s">
        <v>39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P8" s="174" t="s">
        <v>39</v>
      </c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39"/>
    </row>
    <row r="9" spans="2:28" ht="15" customHeight="1">
      <c r="B9" s="175"/>
      <c r="C9" s="175"/>
      <c r="D9" s="175"/>
      <c r="E9" s="175"/>
      <c r="F9" s="175"/>
      <c r="G9" s="175"/>
      <c r="H9" s="175"/>
      <c r="I9" s="175"/>
      <c r="J9" s="175"/>
      <c r="K9" s="175"/>
      <c r="L9" s="175"/>
      <c r="M9" s="175"/>
      <c r="P9" s="175"/>
      <c r="Q9" s="175"/>
      <c r="R9" s="175"/>
      <c r="S9" s="175"/>
      <c r="T9" s="175"/>
      <c r="U9" s="175"/>
      <c r="V9" s="175"/>
      <c r="W9" s="175"/>
      <c r="X9" s="175"/>
      <c r="Y9" s="175"/>
      <c r="Z9" s="175"/>
      <c r="AA9" s="175"/>
      <c r="AB9" s="139"/>
    </row>
    <row r="10" spans="2:28" ht="15" customHeight="1"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P10" s="175"/>
      <c r="Q10" s="175"/>
      <c r="R10" s="175"/>
      <c r="S10" s="175"/>
      <c r="T10" s="175"/>
      <c r="U10" s="175"/>
      <c r="V10" s="175"/>
      <c r="W10" s="175"/>
      <c r="X10" s="175"/>
      <c r="Y10" s="175"/>
      <c r="Z10" s="175"/>
      <c r="AA10" s="175"/>
      <c r="AB10" s="139"/>
    </row>
    <row r="11" spans="2:28" ht="15" customHeight="1"/>
    <row r="12" spans="2:28" ht="15" customHeight="1">
      <c r="B12" s="173" t="s">
        <v>256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P12" s="173" t="s">
        <v>257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</row>
    <row r="13" spans="2:28" ht="15" customHeight="1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</row>
    <row r="14" spans="2:28" ht="15" customHeight="1">
      <c r="B14" s="174" t="s">
        <v>1042</v>
      </c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P14" s="174">
        <v>900</v>
      </c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</row>
    <row r="15" spans="2:28" ht="15" customHeight="1"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</row>
    <row r="16" spans="2:28" ht="15" customHeight="1">
      <c r="B16" s="175"/>
      <c r="C16" s="175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</row>
    <row r="17" spans="2:27" ht="15" customHeight="1">
      <c r="B17" s="46" t="str">
        <f>IF(MID(B14,3,1)="E",MID(B14,5,2),MID(B14,4,2))</f>
        <v>25</v>
      </c>
      <c r="C17" s="47" t="str">
        <f>MID(B14,6,1)</f>
        <v>T</v>
      </c>
    </row>
    <row r="18" spans="2:27" ht="15" customHeight="1">
      <c r="B18" s="176" t="s">
        <v>259</v>
      </c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P18" s="173" t="s">
        <v>260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</row>
    <row r="19" spans="2:27" ht="15" customHeight="1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</row>
    <row r="20" spans="2:27" ht="15" customHeight="1">
      <c r="B20" s="177">
        <v>24470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8" t="s">
        <v>261</v>
      </c>
      <c r="M20" s="139"/>
      <c r="P20" s="177">
        <v>20145</v>
      </c>
      <c r="Q20" s="175"/>
      <c r="R20" s="175"/>
      <c r="S20" s="175"/>
      <c r="T20" s="175"/>
      <c r="U20" s="175"/>
      <c r="V20" s="175"/>
      <c r="W20" s="175"/>
      <c r="X20" s="175"/>
      <c r="Y20" s="175"/>
      <c r="Z20" s="178" t="s">
        <v>261</v>
      </c>
      <c r="AA20" s="139"/>
    </row>
    <row r="21" spans="2:27" ht="15" customHeight="1"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39"/>
      <c r="M21" s="139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39"/>
      <c r="AA21" s="139"/>
    </row>
    <row r="22" spans="2:27" ht="15" customHeight="1">
      <c r="B22" s="175"/>
      <c r="C22" s="175"/>
      <c r="D22" s="175"/>
      <c r="E22" s="175"/>
      <c r="F22" s="175"/>
      <c r="G22" s="175"/>
      <c r="H22" s="175"/>
      <c r="I22" s="175"/>
      <c r="J22" s="175"/>
      <c r="K22" s="175"/>
      <c r="L22" s="139"/>
      <c r="M22" s="139"/>
      <c r="P22" s="175"/>
      <c r="Q22" s="175"/>
      <c r="R22" s="175"/>
      <c r="S22" s="175"/>
      <c r="T22" s="175"/>
      <c r="U22" s="175"/>
      <c r="V22" s="175"/>
      <c r="W22" s="175"/>
      <c r="X22" s="175"/>
      <c r="Y22" s="175"/>
      <c r="Z22" s="139"/>
      <c r="AA22" s="139"/>
    </row>
    <row r="23" spans="2:27" ht="15" customHeight="1"/>
    <row r="24" spans="2:27" ht="15" customHeight="1">
      <c r="B24" s="173" t="s">
        <v>262</v>
      </c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P24" s="173" t="s">
        <v>263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</row>
    <row r="25" spans="2:27" ht="15" customHeight="1"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</row>
    <row r="26" spans="2:27" ht="15" customHeight="1">
      <c r="B26" s="177">
        <v>1300</v>
      </c>
      <c r="C26" s="175"/>
      <c r="D26" s="175"/>
      <c r="E26" s="175"/>
      <c r="F26" s="175"/>
      <c r="G26" s="175"/>
      <c r="H26" s="175"/>
      <c r="I26" s="175"/>
      <c r="J26" s="175"/>
      <c r="K26" s="175"/>
      <c r="L26" s="178" t="s">
        <v>261</v>
      </c>
      <c r="M26" s="139"/>
      <c r="P26" s="179" t="s">
        <v>1043</v>
      </c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</row>
    <row r="27" spans="2:27" ht="15" customHeight="1"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39"/>
      <c r="M27" s="139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</row>
    <row r="28" spans="2:27" ht="15" customHeight="1">
      <c r="B28" s="175"/>
      <c r="C28" s="175"/>
      <c r="D28" s="175"/>
      <c r="E28" s="175"/>
      <c r="F28" s="175"/>
      <c r="G28" s="175"/>
      <c r="H28" s="175"/>
      <c r="I28" s="175"/>
      <c r="J28" s="175"/>
      <c r="K28" s="175"/>
      <c r="L28" s="139"/>
      <c r="M28" s="139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</row>
    <row r="29" spans="2:27" ht="15" customHeight="1"/>
    <row r="30" spans="2:27" ht="15" customHeight="1"/>
    <row r="31" spans="2:27" ht="15" customHeight="1"/>
    <row r="32" spans="2:27" ht="15" customHeight="1">
      <c r="B32" s="173" t="s">
        <v>265</v>
      </c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</row>
    <row r="33" spans="2:26" ht="15" customHeight="1"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2:26" ht="15" customHeight="1">
      <c r="B34" s="180" t="s">
        <v>266</v>
      </c>
      <c r="C34" s="139"/>
      <c r="E34" s="180" t="s">
        <v>267</v>
      </c>
      <c r="F34" s="139"/>
      <c r="G34" s="139"/>
      <c r="H34" s="139"/>
      <c r="K34" s="180" t="s">
        <v>266</v>
      </c>
      <c r="L34" s="139"/>
      <c r="N34" s="180" t="s">
        <v>267</v>
      </c>
      <c r="O34" s="139"/>
      <c r="P34" s="139"/>
      <c r="Q34" s="139"/>
      <c r="T34" s="180" t="s">
        <v>266</v>
      </c>
      <c r="U34" s="139"/>
      <c r="W34" s="180" t="s">
        <v>267</v>
      </c>
      <c r="X34" s="139"/>
      <c r="Y34" s="139"/>
      <c r="Z34" s="139"/>
    </row>
    <row r="35" spans="2:26" ht="15" customHeight="1">
      <c r="B35" s="139"/>
      <c r="C35" s="139"/>
      <c r="E35" s="139"/>
      <c r="F35" s="139"/>
      <c r="G35" s="139"/>
      <c r="H35" s="139"/>
      <c r="K35" s="139"/>
      <c r="L35" s="139"/>
      <c r="N35" s="139"/>
      <c r="O35" s="139"/>
      <c r="P35" s="139"/>
      <c r="Q35" s="139"/>
      <c r="T35" s="139"/>
      <c r="U35" s="139"/>
      <c r="W35" s="139"/>
      <c r="X35" s="139"/>
      <c r="Y35" s="139"/>
      <c r="Z35" s="139"/>
    </row>
    <row r="36" spans="2:26" ht="15" customHeight="1">
      <c r="B36" s="181" t="str">
        <f>IF(塔内機器_計算用シート!Z45=0,"",CONCATENATE(塔内機器_計算用シート!Z45))</f>
        <v>1</v>
      </c>
      <c r="C36" s="139"/>
      <c r="K36" s="181" t="str">
        <f>IF(塔内機器_計算用シート!Z53=0,"",CONCATENATE(塔内機器_計算用シート!Z53))</f>
        <v/>
      </c>
      <c r="L36" s="139"/>
      <c r="T36" s="181" t="str">
        <f>IF(塔内機器_計算用シート!Z61=0,"",CONCATENATE(塔内機器_計算用シート!Z61))</f>
        <v/>
      </c>
      <c r="U36" s="139"/>
    </row>
    <row r="37" spans="2:26" ht="15" customHeight="1">
      <c r="B37" s="139"/>
      <c r="C37" s="139"/>
      <c r="K37" s="139"/>
      <c r="L37" s="139"/>
      <c r="T37" s="139"/>
      <c r="U37" s="139"/>
    </row>
    <row r="38" spans="2:26" ht="15" customHeight="1">
      <c r="B38" s="139"/>
      <c r="C38" s="139"/>
      <c r="E38" s="177">
        <v>3745</v>
      </c>
      <c r="F38" s="175"/>
      <c r="G38" s="175"/>
      <c r="H38" s="175"/>
      <c r="K38" s="139"/>
      <c r="L38" s="139"/>
      <c r="N38" s="182"/>
      <c r="O38" s="183"/>
      <c r="P38" s="183"/>
      <c r="Q38" s="184"/>
      <c r="T38" s="139"/>
      <c r="U38" s="139"/>
      <c r="W38" s="182"/>
      <c r="X38" s="183"/>
      <c r="Y38" s="183"/>
      <c r="Z38" s="184"/>
    </row>
    <row r="39" spans="2:26" ht="15" customHeight="1">
      <c r="E39" s="175"/>
      <c r="F39" s="175"/>
      <c r="G39" s="175"/>
      <c r="H39" s="175"/>
      <c r="N39" s="185"/>
      <c r="O39" s="186"/>
      <c r="P39" s="186"/>
      <c r="Q39" s="187"/>
      <c r="W39" s="185"/>
      <c r="X39" s="186"/>
      <c r="Y39" s="186"/>
      <c r="Z39" s="187"/>
    </row>
    <row r="40" spans="2:26" ht="15" customHeight="1">
      <c r="B40" s="181" t="str">
        <f>IF(塔内機器_計算用シート!Z46=0,"",CONCATENATE(塔内機器_計算用シート!Z46))</f>
        <v>2</v>
      </c>
      <c r="C40" s="139"/>
      <c r="E40" s="175"/>
      <c r="F40" s="175"/>
      <c r="G40" s="175"/>
      <c r="H40" s="175"/>
      <c r="K40" s="181" t="str">
        <f>IF(塔内機器_計算用シート!Z54=0,"",CONCATENATE(塔内機器_計算用シート!Z54))</f>
        <v/>
      </c>
      <c r="L40" s="139"/>
      <c r="N40" s="188"/>
      <c r="O40" s="189"/>
      <c r="P40" s="189"/>
      <c r="Q40" s="190"/>
      <c r="T40" s="181" t="str">
        <f>IF(塔内機器_計算用シート!Z62=0,"",CONCATENATE(塔内機器_計算用シート!Z62))</f>
        <v/>
      </c>
      <c r="U40" s="139"/>
      <c r="W40" s="188"/>
      <c r="X40" s="189"/>
      <c r="Y40" s="189"/>
      <c r="Z40" s="190"/>
    </row>
    <row r="41" spans="2:26" ht="15" customHeight="1">
      <c r="B41" s="139"/>
      <c r="C41" s="139"/>
      <c r="K41" s="139"/>
      <c r="L41" s="139"/>
      <c r="T41" s="139"/>
      <c r="U41" s="139"/>
    </row>
    <row r="42" spans="2:26" ht="15" customHeight="1">
      <c r="B42" s="139"/>
      <c r="C42" s="139"/>
      <c r="E42" s="177">
        <v>3300</v>
      </c>
      <c r="F42" s="175"/>
      <c r="G42" s="175"/>
      <c r="H42" s="175"/>
      <c r="K42" s="139"/>
      <c r="L42" s="139"/>
      <c r="N42" s="182"/>
      <c r="O42" s="183"/>
      <c r="P42" s="183"/>
      <c r="Q42" s="184"/>
      <c r="T42" s="139"/>
      <c r="U42" s="139"/>
      <c r="W42" s="182"/>
      <c r="X42" s="183"/>
      <c r="Y42" s="183"/>
      <c r="Z42" s="184"/>
    </row>
    <row r="43" spans="2:26" ht="15" customHeight="1">
      <c r="E43" s="175"/>
      <c r="F43" s="175"/>
      <c r="G43" s="175"/>
      <c r="H43" s="175"/>
      <c r="N43" s="185"/>
      <c r="O43" s="186"/>
      <c r="P43" s="186"/>
      <c r="Q43" s="187"/>
      <c r="W43" s="185"/>
      <c r="X43" s="186"/>
      <c r="Y43" s="186"/>
      <c r="Z43" s="187"/>
    </row>
    <row r="44" spans="2:26" ht="15" customHeight="1">
      <c r="B44" s="181" t="str">
        <f>IF(塔内機器_計算用シート!Z47=0,"",CONCATENATE(塔内機器_計算用シート!Z47))</f>
        <v>3</v>
      </c>
      <c r="C44" s="139"/>
      <c r="E44" s="175"/>
      <c r="F44" s="175"/>
      <c r="G44" s="175"/>
      <c r="H44" s="175"/>
      <c r="K44" s="181" t="str">
        <f>IF(塔内機器_計算用シート!Z55=0,"",CONCATENATE(塔内機器_計算用シート!Z55))</f>
        <v/>
      </c>
      <c r="L44" s="139"/>
      <c r="N44" s="188"/>
      <c r="O44" s="189"/>
      <c r="P44" s="189"/>
      <c r="Q44" s="190"/>
      <c r="T44" s="181" t="str">
        <f>IF(塔内機器_計算用シート!Z63=0,"",CONCATENATE(塔内機器_計算用シート!Z63))</f>
        <v/>
      </c>
      <c r="U44" s="139"/>
      <c r="W44" s="188"/>
      <c r="X44" s="189"/>
      <c r="Y44" s="189"/>
      <c r="Z44" s="190"/>
    </row>
    <row r="45" spans="2:26" ht="15" customHeight="1">
      <c r="B45" s="139"/>
      <c r="C45" s="139"/>
      <c r="K45" s="139"/>
      <c r="L45" s="139"/>
      <c r="T45" s="139"/>
      <c r="U45" s="139"/>
    </row>
    <row r="46" spans="2:26" ht="15" customHeight="1">
      <c r="B46" s="139"/>
      <c r="C46" s="139"/>
      <c r="E46" s="177">
        <v>3300</v>
      </c>
      <c r="F46" s="175"/>
      <c r="G46" s="175"/>
      <c r="H46" s="175"/>
      <c r="K46" s="139"/>
      <c r="L46" s="139"/>
      <c r="N46" s="182"/>
      <c r="O46" s="183"/>
      <c r="P46" s="183"/>
      <c r="Q46" s="184"/>
      <c r="T46" s="139"/>
      <c r="U46" s="139"/>
      <c r="W46" s="182"/>
      <c r="X46" s="183"/>
      <c r="Y46" s="183"/>
      <c r="Z46" s="184"/>
    </row>
    <row r="47" spans="2:26" ht="15" customHeight="1">
      <c r="E47" s="175"/>
      <c r="F47" s="175"/>
      <c r="G47" s="175"/>
      <c r="H47" s="175"/>
      <c r="N47" s="185"/>
      <c r="O47" s="186"/>
      <c r="P47" s="186"/>
      <c r="Q47" s="187"/>
      <c r="W47" s="185"/>
      <c r="X47" s="186"/>
      <c r="Y47" s="186"/>
      <c r="Z47" s="187"/>
    </row>
    <row r="48" spans="2:26" ht="15" customHeight="1">
      <c r="B48" s="181" t="str">
        <f>IF(塔内機器_計算用シート!Z48=0,"",CONCATENATE(塔内機器_計算用シート!Z48))</f>
        <v>4</v>
      </c>
      <c r="C48" s="139"/>
      <c r="E48" s="175"/>
      <c r="F48" s="175"/>
      <c r="G48" s="175"/>
      <c r="H48" s="175"/>
      <c r="K48" s="181" t="str">
        <f>IF(塔内機器_計算用シート!Z56=0,"",CONCATENATE(塔内機器_計算用シート!Z56))</f>
        <v/>
      </c>
      <c r="L48" s="139"/>
      <c r="N48" s="188"/>
      <c r="O48" s="189"/>
      <c r="P48" s="189"/>
      <c r="Q48" s="190"/>
      <c r="T48" s="181" t="str">
        <f>IF(塔内機器_計算用シート!Z64=0,"",CONCATENATE(塔内機器_計算用シート!Z64))</f>
        <v/>
      </c>
      <c r="U48" s="139"/>
      <c r="W48" s="188"/>
      <c r="X48" s="189"/>
      <c r="Y48" s="189"/>
      <c r="Z48" s="190"/>
    </row>
    <row r="49" spans="2:26" ht="15" customHeight="1">
      <c r="B49" s="139"/>
      <c r="C49" s="139"/>
      <c r="K49" s="139"/>
      <c r="L49" s="139"/>
      <c r="T49" s="139"/>
      <c r="U49" s="139"/>
    </row>
    <row r="50" spans="2:26" ht="15" customHeight="1">
      <c r="B50" s="139"/>
      <c r="C50" s="139"/>
      <c r="E50" s="177">
        <v>3300</v>
      </c>
      <c r="F50" s="175"/>
      <c r="G50" s="175"/>
      <c r="H50" s="175"/>
      <c r="K50" s="139"/>
      <c r="L50" s="139"/>
      <c r="N50" s="182"/>
      <c r="O50" s="183"/>
      <c r="P50" s="183"/>
      <c r="Q50" s="184"/>
      <c r="T50" s="139"/>
      <c r="U50" s="139"/>
      <c r="W50" s="182"/>
      <c r="X50" s="183"/>
      <c r="Y50" s="183"/>
      <c r="Z50" s="184"/>
    </row>
    <row r="51" spans="2:26" ht="15" customHeight="1">
      <c r="E51" s="175"/>
      <c r="F51" s="175"/>
      <c r="G51" s="175"/>
      <c r="H51" s="175"/>
      <c r="N51" s="185"/>
      <c r="O51" s="186"/>
      <c r="P51" s="186"/>
      <c r="Q51" s="187"/>
      <c r="W51" s="185"/>
      <c r="X51" s="186"/>
      <c r="Y51" s="186"/>
      <c r="Z51" s="187"/>
    </row>
    <row r="52" spans="2:26" ht="15" customHeight="1">
      <c r="B52" s="181" t="str">
        <f>IF(塔内機器_計算用シート!Z49=0,"",CONCATENATE(塔内機器_計算用シート!Z49))</f>
        <v>5</v>
      </c>
      <c r="C52" s="139"/>
      <c r="E52" s="175"/>
      <c r="F52" s="175"/>
      <c r="G52" s="175"/>
      <c r="H52" s="175"/>
      <c r="K52" s="181" t="str">
        <f>IF(塔内機器_計算用シート!Z57=0,"",CONCATENATE(塔内機器_計算用シート!Z57))</f>
        <v/>
      </c>
      <c r="L52" s="139"/>
      <c r="N52" s="188"/>
      <c r="O52" s="189"/>
      <c r="P52" s="189"/>
      <c r="Q52" s="190"/>
      <c r="T52" s="181" t="str">
        <f>IF(塔内機器_計算用シート!Z65=0,"",CONCATENATE(塔内機器_計算用シート!Z65))</f>
        <v/>
      </c>
      <c r="U52" s="139"/>
      <c r="W52" s="188"/>
      <c r="X52" s="189"/>
      <c r="Y52" s="189"/>
      <c r="Z52" s="190"/>
    </row>
    <row r="53" spans="2:26" ht="15" customHeight="1">
      <c r="B53" s="139"/>
      <c r="C53" s="139"/>
      <c r="K53" s="139"/>
      <c r="L53" s="139"/>
      <c r="T53" s="139"/>
      <c r="U53" s="139"/>
    </row>
    <row r="54" spans="2:26" ht="15" customHeight="1">
      <c r="B54" s="139"/>
      <c r="C54" s="139"/>
      <c r="E54" s="177">
        <v>3250</v>
      </c>
      <c r="F54" s="175"/>
      <c r="G54" s="175"/>
      <c r="H54" s="175"/>
      <c r="K54" s="139"/>
      <c r="L54" s="139"/>
      <c r="N54" s="182"/>
      <c r="O54" s="183"/>
      <c r="P54" s="183"/>
      <c r="Q54" s="184"/>
      <c r="T54" s="139"/>
      <c r="U54" s="139"/>
      <c r="W54" s="182"/>
      <c r="X54" s="183"/>
      <c r="Y54" s="183"/>
      <c r="Z54" s="184"/>
    </row>
    <row r="55" spans="2:26" ht="15" customHeight="1">
      <c r="E55" s="175"/>
      <c r="F55" s="175"/>
      <c r="G55" s="175"/>
      <c r="H55" s="175"/>
      <c r="N55" s="185"/>
      <c r="O55" s="186"/>
      <c r="P55" s="186"/>
      <c r="Q55" s="187"/>
      <c r="W55" s="185"/>
      <c r="X55" s="186"/>
      <c r="Y55" s="186"/>
      <c r="Z55" s="187"/>
    </row>
    <row r="56" spans="2:26" ht="15" customHeight="1">
      <c r="B56" s="181" t="str">
        <f>IF(塔内機器_計算用シート!Z50=0,"",CONCATENATE(塔内機器_計算用シート!Z50))</f>
        <v>6</v>
      </c>
      <c r="C56" s="139"/>
      <c r="E56" s="175"/>
      <c r="F56" s="175"/>
      <c r="G56" s="175"/>
      <c r="H56" s="175"/>
      <c r="K56" s="181" t="str">
        <f>IF(塔内機器_計算用シート!Z58=0,"",CONCATENATE(塔内機器_計算用シート!Z58))</f>
        <v/>
      </c>
      <c r="L56" s="139"/>
      <c r="N56" s="188"/>
      <c r="O56" s="189"/>
      <c r="P56" s="189"/>
      <c r="Q56" s="190"/>
      <c r="T56" s="181" t="str">
        <f>IF(塔内機器_計算用シート!Z66=0,"",CONCATENATE(塔内機器_計算用シート!Z66))</f>
        <v/>
      </c>
      <c r="U56" s="139"/>
      <c r="W56" s="188"/>
      <c r="X56" s="189"/>
      <c r="Y56" s="189"/>
      <c r="Z56" s="190"/>
    </row>
    <row r="57" spans="2:26" ht="15" customHeight="1">
      <c r="B57" s="139"/>
      <c r="C57" s="139"/>
      <c r="K57" s="139"/>
      <c r="L57" s="139"/>
      <c r="T57" s="139"/>
      <c r="U57" s="139"/>
    </row>
    <row r="58" spans="2:26" ht="15" customHeight="1">
      <c r="B58" s="139"/>
      <c r="C58" s="139"/>
      <c r="E58" s="177">
        <v>3250</v>
      </c>
      <c r="F58" s="175"/>
      <c r="G58" s="175"/>
      <c r="H58" s="175"/>
      <c r="K58" s="139"/>
      <c r="L58" s="139"/>
      <c r="N58" s="182"/>
      <c r="O58" s="183"/>
      <c r="P58" s="183"/>
      <c r="Q58" s="184"/>
      <c r="T58" s="139"/>
      <c r="U58" s="139"/>
      <c r="W58" s="182"/>
      <c r="X58" s="183"/>
      <c r="Y58" s="183"/>
      <c r="Z58" s="184"/>
    </row>
    <row r="59" spans="2:26" ht="15" customHeight="1">
      <c r="E59" s="175"/>
      <c r="F59" s="175"/>
      <c r="G59" s="175"/>
      <c r="H59" s="175"/>
      <c r="N59" s="185"/>
      <c r="O59" s="186"/>
      <c r="P59" s="186"/>
      <c r="Q59" s="187"/>
      <c r="W59" s="185"/>
      <c r="X59" s="186"/>
      <c r="Y59" s="186"/>
      <c r="Z59" s="187"/>
    </row>
    <row r="60" spans="2:26" ht="15" customHeight="1">
      <c r="B60" s="181" t="str">
        <f>IF(塔内機器_計算用シート!Z51=0,"",CONCATENATE(塔内機器_計算用シート!Z51))</f>
        <v>7</v>
      </c>
      <c r="C60" s="139"/>
      <c r="E60" s="175"/>
      <c r="F60" s="175"/>
      <c r="G60" s="175"/>
      <c r="H60" s="175"/>
      <c r="K60" s="181" t="str">
        <f>IF(塔内機器_計算用シート!Z59=0,"",CONCATENATE(塔内機器_計算用シート!Z59))</f>
        <v/>
      </c>
      <c r="L60" s="139"/>
      <c r="N60" s="188"/>
      <c r="O60" s="189"/>
      <c r="P60" s="189"/>
      <c r="Q60" s="190"/>
      <c r="T60" s="181" t="str">
        <f>IF(塔内機器_計算用シート!Z67=0,"",CONCATENATE(塔内機器_計算用シート!Z67))</f>
        <v/>
      </c>
      <c r="U60" s="139"/>
      <c r="W60" s="188"/>
      <c r="X60" s="189"/>
      <c r="Y60" s="189"/>
      <c r="Z60" s="190"/>
    </row>
    <row r="61" spans="2:26" ht="15" customHeight="1">
      <c r="B61" s="139"/>
      <c r="C61" s="139"/>
      <c r="K61" s="139"/>
      <c r="L61" s="139"/>
      <c r="T61" s="139"/>
      <c r="U61" s="139"/>
    </row>
    <row r="62" spans="2:26" ht="15" customHeight="1">
      <c r="B62" s="139"/>
      <c r="C62" s="139"/>
      <c r="E62" s="182"/>
      <c r="F62" s="183"/>
      <c r="G62" s="183"/>
      <c r="H62" s="184"/>
      <c r="K62" s="139"/>
      <c r="L62" s="139"/>
      <c r="N62" s="182"/>
      <c r="O62" s="183"/>
      <c r="P62" s="183"/>
      <c r="Q62" s="184"/>
      <c r="T62" s="139"/>
      <c r="U62" s="139"/>
      <c r="W62" s="182"/>
      <c r="X62" s="183"/>
      <c r="Y62" s="183"/>
      <c r="Z62" s="184"/>
    </row>
    <row r="63" spans="2:26" ht="15" customHeight="1">
      <c r="E63" s="185"/>
      <c r="F63" s="186"/>
      <c r="G63" s="186"/>
      <c r="H63" s="187"/>
      <c r="N63" s="185"/>
      <c r="O63" s="186"/>
      <c r="P63" s="186"/>
      <c r="Q63" s="187"/>
      <c r="W63" s="185"/>
      <c r="X63" s="186"/>
      <c r="Y63" s="186"/>
      <c r="Z63" s="187"/>
    </row>
    <row r="64" spans="2:26" ht="15" customHeight="1">
      <c r="B64" s="181" t="str">
        <f>IF(塔内機器_計算用シート!Z52=0,"",CONCATENATE(塔内機器_計算用シート!Z52))</f>
        <v/>
      </c>
      <c r="C64" s="139"/>
      <c r="E64" s="188"/>
      <c r="F64" s="189"/>
      <c r="G64" s="189"/>
      <c r="H64" s="190"/>
      <c r="K64" s="181" t="str">
        <f>IF(塔内機器_計算用シート!Z60=0,"",CONCATENATE(塔内機器_計算用シート!Z60))</f>
        <v/>
      </c>
      <c r="L64" s="139"/>
      <c r="N64" s="188"/>
      <c r="O64" s="189"/>
      <c r="P64" s="189"/>
      <c r="Q64" s="190"/>
      <c r="T64" s="181" t="str">
        <f>IF(塔内機器_計算用シート!Z68=0,"",CONCATENATE(塔内機器_計算用シート!Z68))</f>
        <v/>
      </c>
      <c r="U64" s="139"/>
      <c r="W64" s="188"/>
      <c r="X64" s="189"/>
      <c r="Y64" s="189"/>
      <c r="Z64" s="190"/>
    </row>
    <row r="65" spans="2:27" ht="15" customHeight="1">
      <c r="B65" s="139"/>
      <c r="C65" s="139"/>
      <c r="K65" s="139"/>
      <c r="L65" s="139"/>
      <c r="T65" s="139"/>
      <c r="U65" s="139"/>
    </row>
    <row r="66" spans="2:27" ht="15" customHeight="1">
      <c r="B66" s="139"/>
      <c r="C66" s="139"/>
      <c r="E66" s="182"/>
      <c r="F66" s="183"/>
      <c r="G66" s="183"/>
      <c r="H66" s="184"/>
      <c r="K66" s="139"/>
      <c r="L66" s="139"/>
      <c r="N66" s="182"/>
      <c r="O66" s="183"/>
      <c r="P66" s="183"/>
      <c r="Q66" s="184"/>
      <c r="T66" s="139"/>
      <c r="U66" s="139"/>
    </row>
    <row r="67" spans="2:27" ht="15" customHeight="1">
      <c r="E67" s="185"/>
      <c r="F67" s="186"/>
      <c r="G67" s="186"/>
      <c r="H67" s="187"/>
      <c r="N67" s="185"/>
      <c r="O67" s="186"/>
      <c r="P67" s="186"/>
      <c r="Q67" s="187"/>
    </row>
    <row r="68" spans="2:27" ht="15" customHeight="1">
      <c r="E68" s="188"/>
      <c r="F68" s="189"/>
      <c r="G68" s="189"/>
      <c r="H68" s="190"/>
      <c r="N68" s="188"/>
      <c r="O68" s="189"/>
      <c r="P68" s="189"/>
      <c r="Q68" s="190"/>
    </row>
    <row r="69" spans="2:27" ht="15" customHeight="1">
      <c r="B69" s="193" t="str">
        <f>IF(塔内機器_計算用シート!Y15=1,"",塔内機器_計算用シート!Y16)</f>
        <v/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</row>
    <row r="70" spans="2:27"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</row>
    <row r="71" spans="2:27"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</row>
    <row r="74" spans="2:27">
      <c r="B74" s="191" t="str">
        <f>CONCATENATE("v2　",塔内機器_計算用シート!Y23)</f>
        <v>v2　参照範囲内（設計妥当性は要照合）</v>
      </c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N74" s="192"/>
      <c r="O74" s="192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</row>
    <row r="75" spans="2:27"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</row>
  </sheetData>
  <sheetProtection sheet="1" objects="1" scenarios="1"/>
  <mergeCells count="78">
    <mergeCell ref="T44:U46"/>
    <mergeCell ref="E46:H48"/>
    <mergeCell ref="N46:Q48"/>
    <mergeCell ref="B74:AA75"/>
    <mergeCell ref="B69:AA71"/>
    <mergeCell ref="W58:Z60"/>
    <mergeCell ref="B60:C62"/>
    <mergeCell ref="K60:L62"/>
    <mergeCell ref="T60:U62"/>
    <mergeCell ref="E62:H64"/>
    <mergeCell ref="N62:Q64"/>
    <mergeCell ref="W62:Z64"/>
    <mergeCell ref="B64:C66"/>
    <mergeCell ref="K64:L66"/>
    <mergeCell ref="T64:U66"/>
    <mergeCell ref="E66:H68"/>
    <mergeCell ref="N66:Q68"/>
    <mergeCell ref="B56:C58"/>
    <mergeCell ref="K56:L58"/>
    <mergeCell ref="W46:Z48"/>
    <mergeCell ref="B48:C50"/>
    <mergeCell ref="K48:L50"/>
    <mergeCell ref="T48:U50"/>
    <mergeCell ref="E50:H52"/>
    <mergeCell ref="N50:Q52"/>
    <mergeCell ref="W50:Z52"/>
    <mergeCell ref="B52:C54"/>
    <mergeCell ref="K52:L54"/>
    <mergeCell ref="T52:U54"/>
    <mergeCell ref="E54:H56"/>
    <mergeCell ref="N54:Q56"/>
    <mergeCell ref="W54:Z56"/>
    <mergeCell ref="T56:U58"/>
    <mergeCell ref="E58:H60"/>
    <mergeCell ref="N58:Q60"/>
    <mergeCell ref="T34:U35"/>
    <mergeCell ref="W34:Z35"/>
    <mergeCell ref="B36:C38"/>
    <mergeCell ref="K36:L38"/>
    <mergeCell ref="T36:U38"/>
    <mergeCell ref="E38:H40"/>
    <mergeCell ref="N38:Q40"/>
    <mergeCell ref="W38:Z40"/>
    <mergeCell ref="B40:C42"/>
    <mergeCell ref="K40:L42"/>
    <mergeCell ref="T40:U42"/>
    <mergeCell ref="E42:H44"/>
    <mergeCell ref="N42:Q44"/>
    <mergeCell ref="W42:Z44"/>
    <mergeCell ref="B44:C46"/>
    <mergeCell ref="K44:L46"/>
    <mergeCell ref="B32:M33"/>
    <mergeCell ref="B34:C35"/>
    <mergeCell ref="E34:H35"/>
    <mergeCell ref="K34:L35"/>
    <mergeCell ref="N34:Q35"/>
    <mergeCell ref="B24:M25"/>
    <mergeCell ref="P24:AA25"/>
    <mergeCell ref="B26:K28"/>
    <mergeCell ref="L26:M28"/>
    <mergeCell ref="P26:AA28"/>
    <mergeCell ref="B18:N19"/>
    <mergeCell ref="P18:AA19"/>
    <mergeCell ref="B20:K22"/>
    <mergeCell ref="L20:M22"/>
    <mergeCell ref="P20:Y22"/>
    <mergeCell ref="Z20:AA22"/>
    <mergeCell ref="AB8:AB10"/>
    <mergeCell ref="B12:M13"/>
    <mergeCell ref="P12:AA13"/>
    <mergeCell ref="B14:M16"/>
    <mergeCell ref="P14:AA16"/>
    <mergeCell ref="B2:N4"/>
    <mergeCell ref="O2:AA4"/>
    <mergeCell ref="B6:M7"/>
    <mergeCell ref="P6:AA7"/>
    <mergeCell ref="B8:M10"/>
    <mergeCell ref="P8:AA10"/>
  </mergeCells>
  <phoneticPr fontId="155"/>
  <dataValidations count="6">
    <dataValidation type="list" showInputMessage="1" showErrorMessage="1" errorTitle="入力候補を確認" error="候補から選択してください。" sqref="B14" xr:uid="{07EE032D-8AA6-47FE-A93F-4FFBEFD73AE5}">
      <formula1>"UA-25TP,UAE-25T,UA-25TR,UA-25TB"</formula1>
    </dataValidation>
    <dataValidation type="list" showInputMessage="1" showErrorMessage="1" errorTitle="入力候補を確認" error="候補から選択してください。" sqref="P14" xr:uid="{55F0E575-A8EA-4BF8-B750-06CF996A4A73}">
      <formula1>"800,900,1000,1100,1200"</formula1>
    </dataValidation>
    <dataValidation type="list" showInputMessage="1" showErrorMessage="1" errorTitle="入力候補を確認" error="候補から選択してください。" sqref="P26" xr:uid="{11DF6679-3405-4D3C-BD8C-A7F26A321386}">
      <formula1>"有,無"</formula1>
    </dataValidation>
    <dataValidation type="whole" showInputMessage="1" showErrorMessage="1" errorTitle="寸法を確認" error="指定範囲内の整数を入力してください。貼り付けによる不備も状態欄で検出します。" promptTitle="整数 mm" prompt="使用する階高は正の整数。未使用欄は空欄にします。" sqref="B20 P20" xr:uid="{BD5F3C14-490C-4BC9-89AC-0C9EC0F282F5}">
      <formula1>1</formula1>
      <formula2>90000</formula2>
    </dataValidation>
    <dataValidation type="whole" showInputMessage="1" showErrorMessage="1" errorTitle="寸法を確認" error="指定範囲内の整数を入力してください。貼り付けによる不備も状態欄で検出します。" promptTitle="整数 mm" prompt="使用する階高は正の整数。未使用欄は空欄にします。" sqref="B26" xr:uid="{2D084B4B-6225-4850-9674-B18A6500A18C}">
      <formula1>0</formula1>
      <formula2>90000</formula2>
    </dataValidation>
    <dataValidation type="whole" allowBlank="1" showInputMessage="1" showErrorMessage="1" errorTitle="寸法を確認" error="指定範囲内の整数を入力してください。貼り付けによる不備も状態欄で検出します。" promptTitle="整数 mm" prompt="使用する階高は正の整数。未使用欄は空欄にします。" sqref="E38 W62 W58 W54 W50 W46 W42 W38 N66 N62 N58 N54 N50 N46 N42 N38 E66 E62 E58 E54 E50 E46 E42" xr:uid="{28502703-0A93-4433-9186-9812B4D6313F}">
      <formula1>1</formula1>
      <formula2>90000</formula2>
    </dataValidation>
  </dataValidations>
  <printOptions horizontalCentered="1"/>
  <pageMargins left="0.27777777777777779" right="0.27777777777777779" top="0.34722222222222221" bottom="0.34722222222222221" header="0.3" footer="0.3"/>
  <pageSetup paperSize="9" scale="11" orientation="portrait" r:id="rId1"/>
  <headerFooter>
    <oddFooter>&amp;R&amp;P / &amp;N&amp;Cv4 / 2026-09-24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A90"/>
  <sheetViews>
    <sheetView zoomScale="85" zoomScaleNormal="85" workbookViewId="0"/>
  </sheetViews>
  <sheetFormatPr defaultColWidth="4" defaultRowHeight="14.25"/>
  <cols>
    <col min="1" max="20" width="4" customWidth="1"/>
  </cols>
  <sheetData>
    <row r="1" spans="2:27" ht="15" customHeight="1"/>
    <row r="2" spans="2:27" ht="15" customHeight="1">
      <c r="B2" s="162" t="s">
        <v>268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72" t="s">
        <v>269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2:27" ht="15" customHeight="1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2:27" ht="15" customHeight="1"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2:27" ht="15" customHeight="1"/>
    <row r="6" spans="2:27" ht="15" customHeight="1">
      <c r="B6" s="194" t="s">
        <v>270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</row>
    <row r="7" spans="2:27" ht="15" customHeight="1"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</row>
    <row r="8" spans="2:27" ht="15" customHeight="1"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</row>
    <row r="9" spans="2:27" ht="15" customHeight="1">
      <c r="B9" s="173" t="s">
        <v>271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</row>
    <row r="10" spans="2:27" ht="15" customHeight="1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</row>
    <row r="11" spans="2:27" ht="15" customHeight="1">
      <c r="B11" s="195" t="str">
        <f>帳票基本入力!C7</f>
        <v>Cwtｾﾌﾃｨ付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</row>
    <row r="12" spans="2:27" ht="15" customHeight="1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</row>
    <row r="13" spans="2:27" ht="15" customHeight="1">
      <c r="B13" s="139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</row>
    <row r="14" spans="2:27" ht="15" customHeight="1"/>
    <row r="15" spans="2:27" ht="15" customHeight="1">
      <c r="B15" s="194" t="s">
        <v>272</v>
      </c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</row>
    <row r="16" spans="2:27" ht="15" customHeight="1">
      <c r="B16" s="139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</row>
    <row r="17" spans="2:27" ht="15" customHeight="1"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</row>
    <row r="18" spans="2:27" ht="15" customHeight="1"/>
    <row r="19" spans="2:27" ht="15" customHeight="1">
      <c r="B19" s="196" t="str">
        <f>IF($M$19="","","ガバナロープ振れ止め手配員数")</f>
        <v>ガバナロープ振れ止め手配員数</v>
      </c>
      <c r="C19" s="197"/>
      <c r="D19" s="197"/>
      <c r="E19" s="197"/>
      <c r="F19" s="197"/>
      <c r="G19" s="197"/>
      <c r="H19" s="197"/>
      <c r="I19" s="197"/>
      <c r="J19" s="197"/>
      <c r="K19" s="197"/>
      <c r="L19" s="180" t="str">
        <f>IF($M$19="","","：")</f>
        <v>：</v>
      </c>
      <c r="M19" s="180">
        <f>IF(OR(塔内機器_計算用シート!AH40=0,塔内機器_計算用シート!AH37=0),"",塔内機器_計算用シート!AH37)</f>
        <v>1</v>
      </c>
      <c r="N19" s="139"/>
      <c r="O19" s="139"/>
      <c r="P19" s="139"/>
      <c r="Q19" s="139"/>
      <c r="R19" s="180" t="str">
        <f>IF($M$19="","","ヶ")</f>
        <v>ヶ</v>
      </c>
      <c r="S19" s="139"/>
    </row>
    <row r="20" spans="2:27" ht="15" customHeight="1">
      <c r="B20" s="197"/>
      <c r="C20" s="197"/>
      <c r="D20" s="197"/>
      <c r="E20" s="197"/>
      <c r="F20" s="197"/>
      <c r="G20" s="197"/>
      <c r="H20" s="197"/>
      <c r="I20" s="197"/>
      <c r="J20" s="197"/>
      <c r="K20" s="197"/>
      <c r="L20" s="139"/>
      <c r="M20" s="139"/>
      <c r="N20" s="139"/>
      <c r="O20" s="139"/>
      <c r="P20" s="139"/>
      <c r="Q20" s="139"/>
      <c r="R20" s="139"/>
      <c r="S20" s="139"/>
    </row>
    <row r="21" spans="2:27" ht="15" customHeight="1">
      <c r="B21" s="197"/>
      <c r="C21" s="197"/>
      <c r="D21" s="197"/>
      <c r="E21" s="197"/>
      <c r="F21" s="197"/>
      <c r="G21" s="197"/>
      <c r="H21" s="197"/>
      <c r="I21" s="197"/>
      <c r="J21" s="197"/>
      <c r="K21" s="197"/>
      <c r="L21" s="139"/>
      <c r="M21" s="139"/>
      <c r="N21" s="139"/>
      <c r="O21" s="139"/>
      <c r="P21" s="139"/>
      <c r="Q21" s="139"/>
      <c r="R21" s="139"/>
      <c r="S21" s="139"/>
    </row>
    <row r="22" spans="2:27" ht="15" customHeight="1">
      <c r="B22" s="198" t="str">
        <f>IF(塔内機器_計算用シート!Y15=0,塔内機器_計算用シート!Y16,IF(塔内機器_計算用シート!AH41&lt;&gt;"",塔内機器_計算用シート!AH41,IF(塔内機器_計算用シート!AH37=0,"本現場ではガバナロープ振れ止めの取付は不要","取付位置は参考値。Ｓ造の場合は保護番線の取付も考慮（規定値はマニュアル参照）。")))</f>
        <v>取付位置は参考値。Ｓ造の場合は保護番線の取付も考慮（規定値はマニュアル参照）。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</row>
    <row r="23" spans="2:27" ht="15" customHeight="1"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</row>
    <row r="24" spans="2:27" ht="15" customHeight="1"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</row>
    <row r="25" spans="2:27" ht="15" customHeight="1"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</row>
    <row r="26" spans="2:27" ht="15" customHeight="1"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</row>
    <row r="27" spans="2:27" ht="15" customHeight="1">
      <c r="B27" s="180" t="str">
        <f>IF(塔内機器_計算用シート!$D$4="","","１つ目は")</f>
        <v>１つ目は</v>
      </c>
      <c r="C27" s="139"/>
      <c r="D27" s="139"/>
      <c r="E27" s="200" t="str">
        <f>IF(塔内機器_計算用シート!$D$4="","",VLOOKUP(塔内機器_計算用シート!$D$4,塔内機器_計算用シート!$L$5:$Q$28,6,TRUE))</f>
        <v>4</v>
      </c>
      <c r="F27" s="139"/>
      <c r="G27" s="139"/>
      <c r="H27" s="180" t="str">
        <f>IF(塔内機器_計算用シート!$D$4="","","階ＦＬから")</f>
        <v>階ＦＬから</v>
      </c>
      <c r="I27" s="139"/>
      <c r="J27" s="139"/>
      <c r="K27" s="139"/>
      <c r="L27" s="139"/>
      <c r="M27" s="201">
        <f>IF(塔内機器_計算用シート!$D$4="","",塔内機器_計算用シート!$D$4-VLOOKUP(塔内機器_計算用シート!$D$4,塔内機器_計算用シート!$L$5:$Q$28,1,TRUE))</f>
        <v>590</v>
      </c>
      <c r="N27" s="202"/>
      <c r="O27" s="202"/>
      <c r="P27" s="202"/>
      <c r="Q27" s="202"/>
      <c r="R27" s="200" t="str">
        <f>IF(塔内機器_計算用シート!$D$4="","","mm")</f>
        <v>mm</v>
      </c>
      <c r="S27" s="139"/>
      <c r="T27" s="203" t="str">
        <f>IF(塔内機器_計算用シート!$D$4="","","の位置に取付けること")</f>
        <v>の位置に取付けること</v>
      </c>
      <c r="U27" s="139"/>
      <c r="V27" s="139"/>
      <c r="W27" s="139"/>
      <c r="X27" s="139"/>
      <c r="Y27" s="139"/>
      <c r="Z27" s="139"/>
      <c r="AA27" s="139"/>
    </row>
    <row r="28" spans="2:27" ht="15" customHeight="1">
      <c r="B28" s="139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202"/>
      <c r="N28" s="202"/>
      <c r="O28" s="202"/>
      <c r="P28" s="202"/>
      <c r="Q28" s="202"/>
      <c r="R28" s="139"/>
      <c r="S28" s="139"/>
      <c r="T28" s="139"/>
      <c r="U28" s="139"/>
      <c r="V28" s="139"/>
      <c r="W28" s="139"/>
      <c r="X28" s="139"/>
      <c r="Y28" s="139"/>
      <c r="Z28" s="139"/>
      <c r="AA28" s="139"/>
    </row>
    <row r="29" spans="2:27" ht="15" customHeight="1"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202"/>
      <c r="N29" s="202"/>
      <c r="O29" s="202"/>
      <c r="P29" s="202"/>
      <c r="Q29" s="202"/>
      <c r="R29" s="139"/>
      <c r="S29" s="139"/>
      <c r="T29" s="139"/>
      <c r="U29" s="139"/>
      <c r="V29" s="139"/>
      <c r="W29" s="139"/>
      <c r="X29" s="139"/>
      <c r="Y29" s="139"/>
      <c r="Z29" s="139"/>
      <c r="AA29" s="139"/>
    </row>
    <row r="30" spans="2:27" ht="15" customHeight="1">
      <c r="B30" s="180" t="str">
        <f>IF(塔内機器_計算用シート!$D$5="","","２つ目は")</f>
        <v/>
      </c>
      <c r="C30" s="139"/>
      <c r="D30" s="139"/>
      <c r="E30" s="200" t="str">
        <f>IF(塔内機器_計算用シート!$D$5="","",VLOOKUP(塔内機器_計算用シート!$D$5,塔内機器_計算用シート!$L$5:$Q$28,6,TRUE))</f>
        <v/>
      </c>
      <c r="F30" s="139"/>
      <c r="G30" s="139"/>
      <c r="H30" s="180" t="str">
        <f>IF(塔内機器_計算用シート!$D$5="","","階ＦＬから")</f>
        <v/>
      </c>
      <c r="I30" s="139"/>
      <c r="J30" s="139"/>
      <c r="K30" s="139"/>
      <c r="L30" s="139"/>
      <c r="M30" s="201" t="str">
        <f>IF(塔内機器_計算用シート!$D$5="","",塔内機器_計算用シート!$D$5-VLOOKUP(塔内機器_計算用シート!$D$5,塔内機器_計算用シート!$L$5:$Q$28,1,TRUE))</f>
        <v/>
      </c>
      <c r="N30" s="202"/>
      <c r="O30" s="202"/>
      <c r="P30" s="202"/>
      <c r="Q30" s="202"/>
      <c r="R30" s="200" t="str">
        <f>IF(塔内機器_計算用シート!$D$5="","","mm")</f>
        <v/>
      </c>
      <c r="S30" s="139"/>
      <c r="T30" s="203" t="str">
        <f>IF(塔内機器_計算用シート!$D$5="","","の位置に取付けること")</f>
        <v/>
      </c>
      <c r="U30" s="139"/>
      <c r="V30" s="139"/>
      <c r="W30" s="139"/>
      <c r="X30" s="139"/>
      <c r="Y30" s="139"/>
      <c r="Z30" s="139"/>
      <c r="AA30" s="139"/>
    </row>
    <row r="31" spans="2:27" ht="15" customHeight="1"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202"/>
      <c r="N31" s="202"/>
      <c r="O31" s="202"/>
      <c r="P31" s="202"/>
      <c r="Q31" s="202"/>
      <c r="R31" s="139"/>
      <c r="S31" s="139"/>
      <c r="T31" s="139"/>
      <c r="U31" s="139"/>
      <c r="V31" s="139"/>
      <c r="W31" s="139"/>
      <c r="X31" s="139"/>
      <c r="Y31" s="139"/>
      <c r="Z31" s="139"/>
      <c r="AA31" s="139"/>
    </row>
    <row r="32" spans="2:27" ht="15" customHeight="1"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202"/>
      <c r="N32" s="202"/>
      <c r="O32" s="202"/>
      <c r="P32" s="202"/>
      <c r="Q32" s="202"/>
      <c r="R32" s="139"/>
      <c r="S32" s="139"/>
      <c r="T32" s="139"/>
      <c r="U32" s="139"/>
      <c r="V32" s="139"/>
      <c r="W32" s="139"/>
      <c r="X32" s="139"/>
      <c r="Y32" s="139"/>
      <c r="Z32" s="139"/>
      <c r="AA32" s="139"/>
    </row>
    <row r="33" spans="2:27" ht="15" customHeight="1">
      <c r="B33" s="180" t="str">
        <f>IF(塔内機器_計算用シート!$D$6="","","３つ目は")</f>
        <v/>
      </c>
      <c r="C33" s="139"/>
      <c r="D33" s="139"/>
      <c r="E33" s="200" t="str">
        <f>IF(塔内機器_計算用シート!$D$6="","",VLOOKUP(塔内機器_計算用シート!$D$6,塔内機器_計算用シート!$L$5:$Q$28,6,TRUE))</f>
        <v/>
      </c>
      <c r="F33" s="139"/>
      <c r="G33" s="139"/>
      <c r="H33" s="180" t="str">
        <f>IF(塔内機器_計算用シート!$D$6="","","階ＦＬから")</f>
        <v/>
      </c>
      <c r="I33" s="139"/>
      <c r="J33" s="139"/>
      <c r="K33" s="139"/>
      <c r="L33" s="139"/>
      <c r="M33" s="201" t="str">
        <f>IF(塔内機器_計算用シート!$D$6="","",塔内機器_計算用シート!$D$6-VLOOKUP(塔内機器_計算用シート!$D$6,塔内機器_計算用シート!$L$5:$Q$28,1,TRUE))</f>
        <v/>
      </c>
      <c r="N33" s="202"/>
      <c r="O33" s="202"/>
      <c r="P33" s="202"/>
      <c r="Q33" s="202"/>
      <c r="R33" s="200" t="str">
        <f>IF(塔内機器_計算用シート!$D$6="","","mm")</f>
        <v/>
      </c>
      <c r="S33" s="139"/>
      <c r="T33" s="203" t="str">
        <f>IF(塔内機器_計算用シート!$D$6="","","の位置に取付けること")</f>
        <v/>
      </c>
      <c r="U33" s="139"/>
      <c r="V33" s="139"/>
      <c r="W33" s="139"/>
      <c r="X33" s="139"/>
      <c r="Y33" s="139"/>
      <c r="Z33" s="139"/>
      <c r="AA33" s="139"/>
    </row>
    <row r="34" spans="2:27" ht="15" customHeight="1"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202"/>
      <c r="N34" s="202"/>
      <c r="O34" s="202"/>
      <c r="P34" s="202"/>
      <c r="Q34" s="202"/>
      <c r="R34" s="139"/>
      <c r="S34" s="139"/>
      <c r="T34" s="139"/>
      <c r="U34" s="139"/>
      <c r="V34" s="139"/>
      <c r="W34" s="139"/>
      <c r="X34" s="139"/>
      <c r="Y34" s="139"/>
      <c r="Z34" s="139"/>
      <c r="AA34" s="139"/>
    </row>
    <row r="35" spans="2:27" ht="15" customHeight="1"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202"/>
      <c r="N35" s="202"/>
      <c r="O35" s="202"/>
      <c r="P35" s="202"/>
      <c r="Q35" s="202"/>
      <c r="R35" s="139"/>
      <c r="S35" s="139"/>
      <c r="T35" s="139"/>
      <c r="U35" s="139"/>
      <c r="V35" s="139"/>
      <c r="W35" s="139"/>
      <c r="X35" s="139"/>
      <c r="Y35" s="139"/>
      <c r="Z35" s="139"/>
      <c r="AA35" s="139"/>
    </row>
    <row r="36" spans="2:27" ht="15" customHeight="1">
      <c r="B36" s="180" t="str">
        <f>IF(塔内機器_計算用シート!$D$7="","","４つ目は")</f>
        <v/>
      </c>
      <c r="C36" s="139"/>
      <c r="D36" s="139"/>
      <c r="E36" s="200" t="str">
        <f>IF(塔内機器_計算用シート!$D$7="","",VLOOKUP(塔内機器_計算用シート!$D$7,塔内機器_計算用シート!$L$5:$Q$28,6,TRUE))</f>
        <v/>
      </c>
      <c r="F36" s="139"/>
      <c r="G36" s="139"/>
      <c r="H36" s="180" t="str">
        <f>IF(塔内機器_計算用シート!$D$7="","","階ＦＬから")</f>
        <v/>
      </c>
      <c r="I36" s="139"/>
      <c r="J36" s="139"/>
      <c r="K36" s="139"/>
      <c r="L36" s="139"/>
      <c r="M36" s="201" t="str">
        <f>IF(塔内機器_計算用シート!$D$7="","",塔内機器_計算用シート!$D$7-VLOOKUP(塔内機器_計算用シート!$D$7,塔内機器_計算用シート!$L$5:$Q$28,1,TRUE))</f>
        <v/>
      </c>
      <c r="N36" s="202"/>
      <c r="O36" s="202"/>
      <c r="P36" s="202"/>
      <c r="Q36" s="202"/>
      <c r="R36" s="200" t="str">
        <f>IF(塔内機器_計算用シート!$D$7="","","mm")</f>
        <v/>
      </c>
      <c r="S36" s="139"/>
      <c r="T36" s="203" t="str">
        <f>IF(塔内機器_計算用シート!$D$7="","","の位置に取付けること")</f>
        <v/>
      </c>
      <c r="U36" s="139"/>
      <c r="V36" s="139"/>
      <c r="W36" s="139"/>
      <c r="X36" s="139"/>
      <c r="Y36" s="139"/>
      <c r="Z36" s="139"/>
      <c r="AA36" s="139"/>
    </row>
    <row r="37" spans="2:27" ht="15" customHeight="1"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202"/>
      <c r="N37" s="202"/>
      <c r="O37" s="202"/>
      <c r="P37" s="202"/>
      <c r="Q37" s="202"/>
      <c r="R37" s="139"/>
      <c r="S37" s="139"/>
      <c r="T37" s="139"/>
      <c r="U37" s="139"/>
      <c r="V37" s="139"/>
      <c r="W37" s="139"/>
      <c r="X37" s="139"/>
      <c r="Y37" s="139"/>
      <c r="Z37" s="139"/>
      <c r="AA37" s="139"/>
    </row>
    <row r="38" spans="2:27" ht="15" customHeight="1">
      <c r="B38" s="139"/>
      <c r="C38" s="139"/>
      <c r="D38" s="139"/>
      <c r="E38" s="139"/>
      <c r="F38" s="139"/>
      <c r="G38" s="139"/>
      <c r="H38" s="139"/>
      <c r="I38" s="139"/>
      <c r="J38" s="139"/>
      <c r="K38" s="139"/>
      <c r="L38" s="139"/>
      <c r="M38" s="202"/>
      <c r="N38" s="202"/>
      <c r="O38" s="202"/>
      <c r="P38" s="202"/>
      <c r="Q38" s="202"/>
      <c r="R38" s="139"/>
      <c r="S38" s="139"/>
      <c r="T38" s="139"/>
      <c r="U38" s="139"/>
      <c r="V38" s="139"/>
      <c r="W38" s="139"/>
      <c r="X38" s="139"/>
      <c r="Y38" s="139"/>
      <c r="Z38" s="139"/>
      <c r="AA38" s="139"/>
    </row>
    <row r="39" spans="2:27" ht="15" customHeight="1">
      <c r="B39" s="180" t="str">
        <f>IF(塔内機器_計算用シート!$D$8="","","５つ目は")</f>
        <v/>
      </c>
      <c r="C39" s="139"/>
      <c r="D39" s="139"/>
      <c r="E39" s="200" t="str">
        <f>IF(塔内機器_計算用シート!$D$8="","",VLOOKUP(塔内機器_計算用シート!$D$8,塔内機器_計算用シート!$L$5:$Q$28,6,TRUE))</f>
        <v/>
      </c>
      <c r="F39" s="139"/>
      <c r="G39" s="139"/>
      <c r="H39" s="180" t="str">
        <f>IF(塔内機器_計算用シート!$D$8="","","階ＦＬから")</f>
        <v/>
      </c>
      <c r="I39" s="139"/>
      <c r="J39" s="139"/>
      <c r="K39" s="139"/>
      <c r="L39" s="139"/>
      <c r="M39" s="201" t="str">
        <f>IF(塔内機器_計算用シート!$D$8="","",塔内機器_計算用シート!$D$8-VLOOKUP(塔内機器_計算用シート!$D$8,塔内機器_計算用シート!$L$5:$Q$28,1,TRUE))</f>
        <v/>
      </c>
      <c r="N39" s="202"/>
      <c r="O39" s="202"/>
      <c r="P39" s="202"/>
      <c r="Q39" s="202"/>
      <c r="R39" s="200" t="str">
        <f>IF(塔内機器_計算用シート!$D$8="","","mm")</f>
        <v/>
      </c>
      <c r="S39" s="139"/>
      <c r="T39" s="203" t="str">
        <f>IF(塔内機器_計算用シート!$D$8="","","の位置に取付けること")</f>
        <v/>
      </c>
      <c r="U39" s="139"/>
      <c r="V39" s="139"/>
      <c r="W39" s="139"/>
      <c r="X39" s="139"/>
      <c r="Y39" s="139"/>
      <c r="Z39" s="139"/>
      <c r="AA39" s="139"/>
    </row>
    <row r="40" spans="2:27" ht="15" customHeight="1"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202"/>
      <c r="N40" s="202"/>
      <c r="O40" s="202"/>
      <c r="P40" s="202"/>
      <c r="Q40" s="202"/>
      <c r="R40" s="139"/>
      <c r="S40" s="139"/>
      <c r="T40" s="139"/>
      <c r="U40" s="139"/>
      <c r="V40" s="139"/>
      <c r="W40" s="139"/>
      <c r="X40" s="139"/>
      <c r="Y40" s="139"/>
      <c r="Z40" s="139"/>
      <c r="AA40" s="139"/>
    </row>
    <row r="41" spans="2:27" ht="15" customHeight="1"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202"/>
      <c r="N41" s="202"/>
      <c r="O41" s="202"/>
      <c r="P41" s="202"/>
      <c r="Q41" s="202"/>
      <c r="R41" s="139"/>
      <c r="S41" s="139"/>
      <c r="T41" s="139"/>
      <c r="U41" s="139"/>
      <c r="V41" s="139"/>
      <c r="W41" s="139"/>
      <c r="X41" s="139"/>
      <c r="Y41" s="139"/>
      <c r="Z41" s="139"/>
      <c r="AA41" s="139"/>
    </row>
    <row r="42" spans="2:27" ht="15" customHeight="1">
      <c r="B42" s="180" t="str">
        <f>IF(塔内機器_計算用シート!$D$9="","","６つ目は")</f>
        <v/>
      </c>
      <c r="C42" s="139"/>
      <c r="D42" s="139"/>
      <c r="E42" s="200" t="str">
        <f>IF(塔内機器_計算用シート!$D$9="","",VLOOKUP(塔内機器_計算用シート!$D$9,塔内機器_計算用シート!$L$5:$Q$28,6,TRUE))</f>
        <v/>
      </c>
      <c r="F42" s="139"/>
      <c r="G42" s="139"/>
      <c r="H42" s="180" t="str">
        <f>IF(塔内機器_計算用シート!$D$9="","","階ＦＬから")</f>
        <v/>
      </c>
      <c r="I42" s="139"/>
      <c r="J42" s="139"/>
      <c r="K42" s="139"/>
      <c r="L42" s="139"/>
      <c r="M42" s="201" t="str">
        <f>IF(塔内機器_計算用シート!$D$9="","",塔内機器_計算用シート!$D$9-VLOOKUP(塔内機器_計算用シート!$D$9,塔内機器_計算用シート!$L$5:$Q$28,1,TRUE))</f>
        <v/>
      </c>
      <c r="N42" s="202"/>
      <c r="O42" s="202"/>
      <c r="P42" s="202"/>
      <c r="Q42" s="202"/>
      <c r="R42" s="200" t="str">
        <f>IF(塔内機器_計算用シート!$D$9="","","mm")</f>
        <v/>
      </c>
      <c r="S42" s="139"/>
      <c r="T42" s="203" t="str">
        <f>IF(塔内機器_計算用シート!$D$9="","","の位置に取付けること")</f>
        <v/>
      </c>
      <c r="U42" s="139"/>
      <c r="V42" s="139"/>
      <c r="W42" s="139"/>
      <c r="X42" s="139"/>
      <c r="Y42" s="139"/>
      <c r="Z42" s="139"/>
      <c r="AA42" s="139"/>
    </row>
    <row r="43" spans="2:27" ht="15" customHeight="1"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202"/>
      <c r="N43" s="202"/>
      <c r="O43" s="202"/>
      <c r="P43" s="202"/>
      <c r="Q43" s="202"/>
      <c r="R43" s="139"/>
      <c r="S43" s="139"/>
      <c r="T43" s="139"/>
      <c r="U43" s="139"/>
      <c r="V43" s="139"/>
      <c r="W43" s="139"/>
      <c r="X43" s="139"/>
      <c r="Y43" s="139"/>
      <c r="Z43" s="139"/>
      <c r="AA43" s="139"/>
    </row>
    <row r="44" spans="2:27" ht="15" customHeight="1">
      <c r="B44" s="139"/>
      <c r="C44" s="139"/>
      <c r="D44" s="139"/>
      <c r="E44" s="139"/>
      <c r="F44" s="139"/>
      <c r="G44" s="139"/>
      <c r="H44" s="139"/>
      <c r="I44" s="139"/>
      <c r="J44" s="139"/>
      <c r="K44" s="139"/>
      <c r="L44" s="139"/>
      <c r="M44" s="202"/>
      <c r="N44" s="202"/>
      <c r="O44" s="202"/>
      <c r="P44" s="202"/>
      <c r="Q44" s="202"/>
      <c r="R44" s="139"/>
      <c r="S44" s="139"/>
      <c r="T44" s="139"/>
      <c r="U44" s="139"/>
      <c r="V44" s="139"/>
      <c r="W44" s="139"/>
      <c r="X44" s="139"/>
      <c r="Y44" s="139"/>
      <c r="Z44" s="139"/>
      <c r="AA44" s="139"/>
    </row>
    <row r="45" spans="2:27" ht="15" customHeight="1"/>
    <row r="46" spans="2:27" ht="15" customHeight="1"/>
    <row r="47" spans="2:27" ht="15" customHeight="1"/>
    <row r="48" spans="2:27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spans="2:27" ht="15" customHeight="1"/>
    <row r="82" spans="2:27" ht="15" customHeight="1"/>
    <row r="83" spans="2:27" ht="15" customHeight="1"/>
    <row r="84" spans="2:27" ht="15" customHeight="1"/>
    <row r="85" spans="2:27" ht="15" customHeight="1"/>
    <row r="86" spans="2:27" ht="15" customHeight="1">
      <c r="L86" s="48" t="s">
        <v>656</v>
      </c>
    </row>
    <row r="89" spans="2:27">
      <c r="B89" s="191" t="str">
        <f>CONCATENATE(塔内機器_計算用シート!AH42,"　",IF(塔内機器_計算用シート!AH41&lt;&gt;"",塔内機器_計算用シート!AH41,塔内機器_計算用シート!Y23))</f>
        <v>v4　参照範囲内（設計妥当性は要照合）</v>
      </c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</row>
    <row r="90" spans="2:27"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</row>
  </sheetData>
  <sheetProtection sheet="1" objects="1" scenarios="1"/>
  <mergeCells count="48">
    <mergeCell ref="B89:AA90"/>
    <mergeCell ref="T42:AA44"/>
    <mergeCell ref="B42:D44"/>
    <mergeCell ref="E42:G44"/>
    <mergeCell ref="H42:L44"/>
    <mergeCell ref="M42:Q44"/>
    <mergeCell ref="R42:S44"/>
    <mergeCell ref="T36:AA38"/>
    <mergeCell ref="B39:D41"/>
    <mergeCell ref="E39:G41"/>
    <mergeCell ref="H39:L41"/>
    <mergeCell ref="M39:Q41"/>
    <mergeCell ref="R39:S41"/>
    <mergeCell ref="T39:AA41"/>
    <mergeCell ref="B36:D38"/>
    <mergeCell ref="E36:G38"/>
    <mergeCell ref="H36:L38"/>
    <mergeCell ref="M36:Q38"/>
    <mergeCell ref="R36:S38"/>
    <mergeCell ref="T30:AA32"/>
    <mergeCell ref="B33:D35"/>
    <mergeCell ref="E33:G35"/>
    <mergeCell ref="H33:L35"/>
    <mergeCell ref="M33:Q35"/>
    <mergeCell ref="R33:S35"/>
    <mergeCell ref="T33:AA35"/>
    <mergeCell ref="B30:D32"/>
    <mergeCell ref="E30:G32"/>
    <mergeCell ref="H30:L32"/>
    <mergeCell ref="M30:Q32"/>
    <mergeCell ref="R30:S32"/>
    <mergeCell ref="B22:AA26"/>
    <mergeCell ref="B27:D29"/>
    <mergeCell ref="E27:G29"/>
    <mergeCell ref="H27:L29"/>
    <mergeCell ref="M27:Q29"/>
    <mergeCell ref="R27:S29"/>
    <mergeCell ref="T27:AA29"/>
    <mergeCell ref="B15:X17"/>
    <mergeCell ref="B19:K21"/>
    <mergeCell ref="L19:L21"/>
    <mergeCell ref="M19:Q21"/>
    <mergeCell ref="R19:S21"/>
    <mergeCell ref="B2:N4"/>
    <mergeCell ref="O2:AA4"/>
    <mergeCell ref="B6:AA8"/>
    <mergeCell ref="B9:M10"/>
    <mergeCell ref="B11:M13"/>
  </mergeCells>
  <phoneticPr fontId="155"/>
  <printOptions horizontalCentered="1"/>
  <pageMargins left="0.27777777777777779" right="0.27777777777777779" top="0.34722222222222221" bottom="0.34722222222222221" header="0.3" footer="0.3"/>
  <pageSetup paperSize="9" scale="18" orientation="portrait" r:id="rId1"/>
  <headerFooter>
    <oddFooter>&amp;R&amp;P / &amp;N&amp;Cv4 / 2026-09-24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A76"/>
  <sheetViews>
    <sheetView zoomScale="85" zoomScaleNormal="85" workbookViewId="0"/>
  </sheetViews>
  <sheetFormatPr defaultColWidth="4" defaultRowHeight="14.25"/>
  <cols>
    <col min="1" max="26" width="4" customWidth="1"/>
  </cols>
  <sheetData>
    <row r="1" spans="2:27" ht="15" customHeight="1"/>
    <row r="2" spans="2:27" ht="15" customHeight="1">
      <c r="B2" s="162" t="s">
        <v>273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72" t="s">
        <v>274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2:27" ht="15" customHeight="1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2:27" ht="15" customHeight="1"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2:27" ht="15" customHeight="1"/>
    <row r="6" spans="2:27" ht="15" customHeight="1"/>
    <row r="7" spans="2:27" ht="15" customHeight="1"/>
    <row r="8" spans="2:27" ht="15" customHeight="1">
      <c r="B8" s="194" t="s">
        <v>275</v>
      </c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</row>
    <row r="9" spans="2:27" ht="15" customHeight="1"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</row>
    <row r="10" spans="2:27" ht="15" customHeight="1">
      <c r="B10" s="139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</row>
    <row r="11" spans="2:27" ht="15" customHeight="1">
      <c r="B11" s="173" t="s">
        <v>276</v>
      </c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</row>
    <row r="12" spans="2:27" ht="15" customHeight="1"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</row>
    <row r="13" spans="2:27" ht="15" customHeight="1">
      <c r="B13" s="204">
        <f>IF(帳票基本入力!C9="","",帳票基本入力!C9)</f>
        <v>3080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78" t="s">
        <v>261</v>
      </c>
      <c r="M13" s="139"/>
    </row>
    <row r="14" spans="2:27" ht="15" customHeight="1"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</row>
    <row r="15" spans="2:27" ht="15" customHeight="1"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</row>
    <row r="16" spans="2:27" ht="15" customHeight="1">
      <c r="Z16" s="49">
        <f>IF(塔内機器_計算用シート!Y39=0,"",塔内機器_計算用シート!Y37)</f>
        <v>3</v>
      </c>
    </row>
    <row r="17" spans="2:27" ht="15" customHeight="1">
      <c r="B17" s="194" t="s">
        <v>277</v>
      </c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</row>
    <row r="18" spans="2:27" ht="15" customHeight="1">
      <c r="B18" s="139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</row>
    <row r="19" spans="2:27" ht="15" customHeight="1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</row>
    <row r="20" spans="2:27" ht="15" customHeight="1">
      <c r="B20" s="203" t="str">
        <f>IF(塔内機器_計算用シート!Y39=0,"","テールコードタイプ")</f>
        <v>テールコードタイプ</v>
      </c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80" t="str">
        <f>IF(塔内機器_計算用シート!Y39=0,"","：")</f>
        <v>：</v>
      </c>
      <c r="U20" s="180" t="str">
        <f>IF(塔内機器_計算用シート!Y39=0,"",塔内機器_計算用シート!Y38)</f>
        <v>Lタイプ</v>
      </c>
      <c r="V20" s="139"/>
      <c r="W20" s="139"/>
      <c r="X20" s="139"/>
      <c r="Y20" s="139"/>
      <c r="Z20" s="139"/>
      <c r="AA20" s="139"/>
    </row>
    <row r="21" spans="2:27" ht="15" customHeight="1"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</row>
    <row r="22" spans="2:27" ht="15" customHeight="1">
      <c r="B22" s="139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</row>
    <row r="23" spans="2:27" ht="15" customHeight="1">
      <c r="B23" s="180" t="str">
        <f>IF(塔内機器_計算用シート!Y39=0,"","[ 1 ]")</f>
        <v>[ 1 ]</v>
      </c>
      <c r="C23" s="139"/>
      <c r="D23" s="208" t="str">
        <f>IF(塔内機器_計算用シート!Y39=0,"","ケーブルサポートブラ手配員数")</f>
        <v>ケーブルサポートブラ手配員数</v>
      </c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80" t="str">
        <f>IF(塔内機器_計算用シート!Y39=0,"","：")</f>
        <v>：</v>
      </c>
      <c r="U23" s="180">
        <f>IF(塔内機器_計算用シート!Y39=0,"",塔内機器_計算用シート!Y25)</f>
        <v>2</v>
      </c>
      <c r="V23" s="139"/>
      <c r="W23" s="139"/>
      <c r="X23" s="139"/>
      <c r="Y23" s="139"/>
      <c r="Z23" s="180" t="str">
        <f>IF(塔内機器_計算用シート!Y39=0,"","ヶ")</f>
        <v>ヶ</v>
      </c>
      <c r="AA23" s="139"/>
    </row>
    <row r="24" spans="2:27" ht="15" customHeight="1"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</row>
    <row r="25" spans="2:27" ht="15" customHeight="1"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</row>
    <row r="26" spans="2:27" ht="15" customHeight="1">
      <c r="B26" s="205" t="str">
        <f>IF(塔内機器_計算用シート!Y39=0,"","[ 2 ]")</f>
        <v>[ 2 ]</v>
      </c>
      <c r="C26" s="139"/>
      <c r="D26" s="206" t="str">
        <f>IF(塔内機器_計算用シート!Y39=0,"","テールコードサポートブラ手配員数")</f>
        <v>テールコードサポートブラ手配員数</v>
      </c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80" t="str">
        <f>IF(塔内機器_計算用シート!Y39=0,"","：")</f>
        <v>：</v>
      </c>
      <c r="U26" s="180">
        <f>IF(塔内機器_計算用シート!Y39=0,"",塔内機器_計算用シート!Y36)</f>
        <v>1</v>
      </c>
      <c r="V26" s="139"/>
      <c r="W26" s="139"/>
      <c r="X26" s="139"/>
      <c r="Y26" s="139"/>
      <c r="Z26" s="180" t="str">
        <f>IF(塔内機器_計算用シート!Y39=0,"","ヶ")</f>
        <v>ヶ</v>
      </c>
      <c r="AA26" s="139"/>
    </row>
    <row r="27" spans="2:27" ht="15" customHeight="1"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</row>
    <row r="28" spans="2:27" ht="15" customHeight="1">
      <c r="B28" s="207" t="str">
        <f>IF(塔内機器_計算用シート!Y39=0,"",IF(B26="","","※テールコード2､3本時は1箇所当たり2ケ/セット取付のため注意"))</f>
        <v>※テールコード2､3本時は1箇所当たり2ケ/セット取付のため注意</v>
      </c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</row>
    <row r="29" spans="2:27" ht="15" customHeight="1"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</row>
    <row r="30" spans="2:27" ht="15" customHeight="1">
      <c r="B30" s="209" t="str">
        <f>IF(L30="","","1つ目は")</f>
        <v>1つ目は</v>
      </c>
      <c r="C30" s="139"/>
      <c r="D30" s="139"/>
      <c r="E30" s="209" t="str">
        <f>IF(塔内機器_計算用シート!D31="","",VLOOKUP(塔内機器_計算用シート!D31,塔内機器_計算用シート!$I$5:$Q$28,9,TRUE))</f>
        <v>4</v>
      </c>
      <c r="F30" s="139"/>
      <c r="G30" s="139"/>
      <c r="H30" s="209" t="str">
        <f>IF(L30="","","階FLから")</f>
        <v>階FLから</v>
      </c>
      <c r="I30" s="139"/>
      <c r="J30" s="139"/>
      <c r="K30" s="139"/>
      <c r="L30" s="212">
        <f>IF(塔内機器_計算用シート!D31="","",塔内機器_計算用シート!D31-VLOOKUP(塔内機器_計算用シート!D31,塔内機器_計算用シート!$I$5:$Q$28,1,TRUE))</f>
        <v>227.5</v>
      </c>
      <c r="M30" s="202"/>
      <c r="N30" s="202"/>
      <c r="O30" s="202"/>
      <c r="P30" s="202"/>
      <c r="Q30" s="209" t="str">
        <f>IF(L30="","","ｍｍ")</f>
        <v>ｍｍ</v>
      </c>
      <c r="R30" s="139"/>
      <c r="S30" s="209" t="str">
        <f>IF(L30="","","の位置に")</f>
        <v>の位置に</v>
      </c>
      <c r="T30" s="139"/>
      <c r="U30" s="139"/>
      <c r="V30" s="209" t="str">
        <f>IF(L30="","",IF(塔内機器_計算用シート!Y36=2,"[ 2 ]","[ 1 ]"))</f>
        <v>[ 1 ]</v>
      </c>
      <c r="W30" s="139"/>
      <c r="X30" s="139"/>
      <c r="Y30" s="209" t="str">
        <f>IF(L30="","","を取付け")</f>
        <v>を取付け</v>
      </c>
      <c r="Z30" s="139"/>
      <c r="AA30" s="139"/>
    </row>
    <row r="31" spans="2:27" ht="15" customHeight="1"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202"/>
      <c r="M31" s="202"/>
      <c r="N31" s="202"/>
      <c r="O31" s="202"/>
      <c r="P31" s="202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</row>
    <row r="32" spans="2:27" ht="15" customHeight="1">
      <c r="B32" s="139"/>
      <c r="C32" s="139"/>
      <c r="D32" s="139"/>
      <c r="E32" s="139"/>
      <c r="F32" s="139"/>
      <c r="G32" s="139"/>
      <c r="H32" s="139"/>
      <c r="I32" s="139"/>
      <c r="J32" s="139"/>
      <c r="K32" s="139"/>
      <c r="L32" s="202"/>
      <c r="M32" s="202"/>
      <c r="N32" s="202"/>
      <c r="O32" s="202"/>
      <c r="P32" s="202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</row>
    <row r="33" spans="2:27" ht="15" customHeight="1">
      <c r="I33" s="210" t="str">
        <f>IF(M33="","","ピッチは")</f>
        <v>ピッチは</v>
      </c>
      <c r="J33" s="139"/>
      <c r="K33" s="139"/>
      <c r="L33" s="139"/>
      <c r="M33" s="211">
        <f>IF(塔内機器_計算用シート!D32="","",塔内機器_計算用シート!D32-塔内機器_計算用シート!D31)</f>
        <v>5399</v>
      </c>
      <c r="N33" s="202"/>
      <c r="O33" s="202"/>
      <c r="P33" s="202"/>
      <c r="Q33" s="202"/>
      <c r="R33" s="202"/>
      <c r="S33" s="210" t="str">
        <f>IF(M33="","","ｍｍ")</f>
        <v>ｍｍ</v>
      </c>
      <c r="T33" s="139"/>
    </row>
    <row r="34" spans="2:27" ht="15" customHeight="1">
      <c r="I34" s="139"/>
      <c r="J34" s="139"/>
      <c r="K34" s="139"/>
      <c r="L34" s="139"/>
      <c r="M34" s="202"/>
      <c r="N34" s="202"/>
      <c r="O34" s="202"/>
      <c r="P34" s="202"/>
      <c r="Q34" s="202"/>
      <c r="R34" s="202"/>
      <c r="S34" s="139"/>
      <c r="T34" s="139"/>
    </row>
    <row r="35" spans="2:27" ht="15" customHeight="1">
      <c r="B35" s="209" t="str">
        <f>IF(L35="","","2つ目は")</f>
        <v>2つ目は</v>
      </c>
      <c r="C35" s="139"/>
      <c r="D35" s="139"/>
      <c r="E35" s="209" t="str">
        <f>IF(塔内機器_計算用シート!D32="","",VLOOKUP(塔内機器_計算用シート!D32,塔内機器_計算用シート!$I$5:$Q$28,9,TRUE))</f>
        <v>5</v>
      </c>
      <c r="F35" s="139"/>
      <c r="G35" s="139"/>
      <c r="H35" s="209" t="str">
        <f>IF(L35="","","階FLから")</f>
        <v>階FLから</v>
      </c>
      <c r="I35" s="139"/>
      <c r="J35" s="139"/>
      <c r="K35" s="139"/>
      <c r="L35" s="212">
        <f>IF(塔内機器_計算用シート!D32="","",塔内機器_計算用シート!D32-VLOOKUP(塔内機器_計算用シート!D32,塔内機器_計算用シート!$I$5:$Q$28,1,TRUE))</f>
        <v>2326.5</v>
      </c>
      <c r="M35" s="202"/>
      <c r="N35" s="202"/>
      <c r="O35" s="202"/>
      <c r="P35" s="202"/>
      <c r="Q35" s="209" t="str">
        <f>IF(L35="","","ｍｍ")</f>
        <v>ｍｍ</v>
      </c>
      <c r="R35" s="139"/>
      <c r="S35" s="209" t="str">
        <f>IF(L35="","","の位置に")</f>
        <v>の位置に</v>
      </c>
      <c r="T35" s="139"/>
      <c r="U35" s="139"/>
      <c r="V35" s="209" t="str">
        <f>IF(L35="","",IF(塔内機器_計算用シート!Y37=2,"[ 2 ]","[ 1 ]"))</f>
        <v>[ 1 ]</v>
      </c>
      <c r="W35" s="139"/>
      <c r="X35" s="139"/>
      <c r="Y35" s="209" t="str">
        <f>IF(L35="","","を取付け")</f>
        <v>を取付け</v>
      </c>
      <c r="Z35" s="139"/>
      <c r="AA35" s="139"/>
    </row>
    <row r="36" spans="2:27" ht="15" customHeight="1"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202"/>
      <c r="M36" s="202"/>
      <c r="N36" s="202"/>
      <c r="O36" s="202"/>
      <c r="P36" s="202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</row>
    <row r="37" spans="2:27" ht="15" customHeight="1"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202"/>
      <c r="M37" s="202"/>
      <c r="N37" s="202"/>
      <c r="O37" s="202"/>
      <c r="P37" s="202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</row>
    <row r="38" spans="2:27" ht="15" customHeight="1">
      <c r="I38" s="210" t="str">
        <f>IF(M38="","","ピッチは")</f>
        <v>ピッチは</v>
      </c>
      <c r="J38" s="139"/>
      <c r="K38" s="139"/>
      <c r="L38" s="139"/>
      <c r="M38" s="211">
        <f>IF(塔内機器_計算用シート!D33="","",塔内機器_計算用シート!D33-塔内機器_計算用シート!D32)</f>
        <v>5398.5</v>
      </c>
      <c r="N38" s="202"/>
      <c r="O38" s="202"/>
      <c r="P38" s="202"/>
      <c r="Q38" s="202"/>
      <c r="R38" s="202"/>
      <c r="S38" s="210" t="str">
        <f>IF(M38="","","ｍｍ")</f>
        <v>ｍｍ</v>
      </c>
      <c r="T38" s="139"/>
    </row>
    <row r="39" spans="2:27" ht="15" customHeight="1">
      <c r="I39" s="139"/>
      <c r="J39" s="139"/>
      <c r="K39" s="139"/>
      <c r="L39" s="139"/>
      <c r="M39" s="202"/>
      <c r="N39" s="202"/>
      <c r="O39" s="202"/>
      <c r="P39" s="202"/>
      <c r="Q39" s="202"/>
      <c r="R39" s="202"/>
      <c r="S39" s="139"/>
      <c r="T39" s="139"/>
    </row>
    <row r="40" spans="2:27" ht="15" customHeight="1">
      <c r="B40" s="209" t="str">
        <f>IF(L40="","","3つ目は")</f>
        <v>3つ目は</v>
      </c>
      <c r="C40" s="139"/>
      <c r="D40" s="139"/>
      <c r="E40" s="209" t="str">
        <f>IF(塔内機器_計算用シート!D33="","",VLOOKUP(塔内機器_計算用シート!D33,塔内機器_計算用シート!$I$5:$Q$28,9,TRUE))</f>
        <v>7</v>
      </c>
      <c r="F40" s="139"/>
      <c r="G40" s="139"/>
      <c r="H40" s="209" t="str">
        <f>IF(L40="","","階FLから")</f>
        <v>階FLから</v>
      </c>
      <c r="I40" s="139"/>
      <c r="J40" s="139"/>
      <c r="K40" s="139"/>
      <c r="L40" s="212">
        <f>IF(塔内機器_計算用シート!D33="","",塔内機器_計算用シート!D33-VLOOKUP(塔内機器_計算用シート!D33,塔内機器_計算用シート!$I$5:$Q$28,1,TRUE))</f>
        <v>1225</v>
      </c>
      <c r="M40" s="202"/>
      <c r="N40" s="202"/>
      <c r="O40" s="202"/>
      <c r="P40" s="202"/>
      <c r="Q40" s="209" t="str">
        <f>IF(L40="","","ｍｍ")</f>
        <v>ｍｍ</v>
      </c>
      <c r="R40" s="139"/>
      <c r="S40" s="209" t="str">
        <f>IF(L40="","","の位置に")</f>
        <v>の位置に</v>
      </c>
      <c r="T40" s="139"/>
      <c r="U40" s="139"/>
      <c r="V40" s="209" t="str">
        <f>IF(L40="","",IF(塔内機器_計算用シート!Y37=3,"[ 2 ]","[ 1 ]"))</f>
        <v>[ 2 ]</v>
      </c>
      <c r="W40" s="139"/>
      <c r="X40" s="139"/>
      <c r="Y40" s="209" t="str">
        <f>IF(L40="","","を取付け")</f>
        <v>を取付け</v>
      </c>
      <c r="Z40" s="139"/>
      <c r="AA40" s="139"/>
    </row>
    <row r="41" spans="2:27" ht="15" customHeight="1"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202"/>
      <c r="M41" s="202"/>
      <c r="N41" s="202"/>
      <c r="O41" s="202"/>
      <c r="P41" s="202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</row>
    <row r="42" spans="2:27" ht="15" customHeight="1"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202"/>
      <c r="M42" s="202"/>
      <c r="N42" s="202"/>
      <c r="O42" s="202"/>
      <c r="P42" s="202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</row>
    <row r="43" spans="2:27" ht="15" customHeight="1">
      <c r="I43" s="139"/>
      <c r="J43" s="139"/>
      <c r="K43" s="139"/>
      <c r="L43" s="139"/>
      <c r="M43" s="211" t="str">
        <f>IF(塔内機器_計算用シート!D34="","",塔内機器_計算用シート!D34-塔内機器_計算用シート!D33)</f>
        <v/>
      </c>
      <c r="N43" s="202"/>
      <c r="O43" s="202"/>
      <c r="P43" s="202"/>
      <c r="Q43" s="202"/>
      <c r="R43" s="202"/>
      <c r="S43" s="210" t="str">
        <f>IF(M43="","","ｍｍ")</f>
        <v/>
      </c>
      <c r="T43" s="139"/>
    </row>
    <row r="44" spans="2:27" ht="15" customHeight="1">
      <c r="I44" s="139"/>
      <c r="J44" s="139"/>
      <c r="K44" s="139"/>
      <c r="L44" s="139"/>
      <c r="M44" s="202"/>
      <c r="N44" s="202"/>
      <c r="O44" s="202"/>
      <c r="P44" s="202"/>
      <c r="Q44" s="202"/>
      <c r="R44" s="202"/>
      <c r="S44" s="139"/>
      <c r="T44" s="139"/>
    </row>
    <row r="45" spans="2:27" ht="15" customHeight="1">
      <c r="B45" s="209" t="str">
        <f>IF(L45="","","4つ目は")</f>
        <v/>
      </c>
      <c r="C45" s="139"/>
      <c r="D45" s="139"/>
      <c r="E45" s="209" t="str">
        <f>IF(塔内機器_計算用シート!D34="","",VLOOKUP(塔内機器_計算用シート!D34,塔内機器_計算用シート!$I$5:$Q$28,9,TRUE))</f>
        <v/>
      </c>
      <c r="F45" s="139"/>
      <c r="G45" s="139"/>
      <c r="H45" s="209" t="str">
        <f>IF(L45="","","階FLから")</f>
        <v/>
      </c>
      <c r="I45" s="139"/>
      <c r="J45" s="139"/>
      <c r="K45" s="139"/>
      <c r="L45" s="212" t="str">
        <f>IF(塔内機器_計算用シート!D34="","",塔内機器_計算用シート!D34-VLOOKUP(塔内機器_計算用シート!D34,塔内機器_計算用シート!$I$5:$Q$28,1,TRUE))</f>
        <v/>
      </c>
      <c r="M45" s="202"/>
      <c r="N45" s="202"/>
      <c r="O45" s="202"/>
      <c r="P45" s="202"/>
      <c r="Q45" s="209" t="str">
        <f>IF(L45="","","ｍｍ")</f>
        <v/>
      </c>
      <c r="R45" s="139"/>
      <c r="S45" s="209" t="str">
        <f>IF(L45="","","の位置に")</f>
        <v/>
      </c>
      <c r="T45" s="139"/>
      <c r="U45" s="139"/>
      <c r="V45" s="209" t="str">
        <f>IF(L45="","",IF(塔内機器_計算用シート!Y37=4,"[ 2 ]","[ 1 ]"))</f>
        <v/>
      </c>
      <c r="W45" s="139"/>
      <c r="X45" s="139"/>
      <c r="Y45" s="209" t="str">
        <f>IF(L45="","","を取付け")</f>
        <v/>
      </c>
      <c r="Z45" s="139"/>
      <c r="AA45" s="139"/>
    </row>
    <row r="46" spans="2:27" ht="15" customHeight="1"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202"/>
      <c r="M46" s="202"/>
      <c r="N46" s="202"/>
      <c r="O46" s="202"/>
      <c r="P46" s="202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</row>
    <row r="47" spans="2:27" ht="15" customHeight="1"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202"/>
      <c r="M47" s="202"/>
      <c r="N47" s="202"/>
      <c r="O47" s="202"/>
      <c r="P47" s="202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</row>
    <row r="48" spans="2:27" ht="15" customHeight="1">
      <c r="I48" s="210" t="str">
        <f>IF(M48="","","ピッチは")</f>
        <v/>
      </c>
      <c r="J48" s="139"/>
      <c r="K48" s="139"/>
      <c r="L48" s="139"/>
      <c r="M48" s="211" t="str">
        <f>IF(塔内機器_計算用シート!D35="","",塔内機器_計算用シート!D35-塔内機器_計算用シート!D34)</f>
        <v/>
      </c>
      <c r="N48" s="202"/>
      <c r="O48" s="202"/>
      <c r="P48" s="202"/>
      <c r="Q48" s="202"/>
      <c r="R48" s="202"/>
      <c r="S48" s="210" t="str">
        <f>IF(M48="","","ｍｍ")</f>
        <v/>
      </c>
      <c r="T48" s="139"/>
    </row>
    <row r="49" spans="2:27" ht="15" customHeight="1">
      <c r="I49" s="139"/>
      <c r="J49" s="139"/>
      <c r="K49" s="139"/>
      <c r="L49" s="139"/>
      <c r="M49" s="202"/>
      <c r="N49" s="202"/>
      <c r="O49" s="202"/>
      <c r="P49" s="202"/>
      <c r="Q49" s="202"/>
      <c r="R49" s="202"/>
      <c r="S49" s="139"/>
      <c r="T49" s="139"/>
    </row>
    <row r="50" spans="2:27" ht="15" customHeight="1">
      <c r="B50" s="209" t="str">
        <f>IF(L50="","","5つ目は")</f>
        <v/>
      </c>
      <c r="C50" s="139"/>
      <c r="D50" s="139"/>
      <c r="E50" s="209" t="str">
        <f>IF(塔内機器_計算用シート!D35="","",VLOOKUP(塔内機器_計算用シート!D35,塔内機器_計算用シート!$I$5:$Q$28,9,TRUE))</f>
        <v/>
      </c>
      <c r="F50" s="139"/>
      <c r="G50" s="139"/>
      <c r="H50" s="209" t="str">
        <f>IF(L50="","","階FLから")</f>
        <v/>
      </c>
      <c r="I50" s="139"/>
      <c r="J50" s="139"/>
      <c r="K50" s="139"/>
      <c r="L50" s="212" t="str">
        <f>IF(塔内機器_計算用シート!D35="","",塔内機器_計算用シート!D35-VLOOKUP(塔内機器_計算用シート!D35,塔内機器_計算用シート!$I$5:$Q$28,1,TRUE))</f>
        <v/>
      </c>
      <c r="M50" s="202"/>
      <c r="N50" s="202"/>
      <c r="O50" s="202"/>
      <c r="P50" s="202"/>
      <c r="Q50" s="209" t="str">
        <f>IF(L50="","","ｍｍ")</f>
        <v/>
      </c>
      <c r="R50" s="139"/>
      <c r="S50" s="209" t="str">
        <f>IF(L50="","","の位置に")</f>
        <v/>
      </c>
      <c r="T50" s="139"/>
      <c r="U50" s="139"/>
      <c r="V50" s="209" t="str">
        <f>IF(L50="","",IF(塔内機器_計算用シート!Y37=5,"[ 2 ]","[ 1 ]"))</f>
        <v/>
      </c>
      <c r="W50" s="139"/>
      <c r="X50" s="139"/>
      <c r="Y50" s="209" t="str">
        <f>IF(L50="","","を取付け")</f>
        <v/>
      </c>
      <c r="Z50" s="139"/>
      <c r="AA50" s="139"/>
    </row>
    <row r="51" spans="2:27" ht="15" customHeight="1"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202"/>
      <c r="M51" s="202"/>
      <c r="N51" s="202"/>
      <c r="O51" s="202"/>
      <c r="P51" s="202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</row>
    <row r="52" spans="2:27" ht="15" customHeight="1">
      <c r="B52" s="139"/>
      <c r="C52" s="139"/>
      <c r="D52" s="139"/>
      <c r="E52" s="139"/>
      <c r="F52" s="139"/>
      <c r="G52" s="139"/>
      <c r="H52" s="139"/>
      <c r="I52" s="139"/>
      <c r="J52" s="139"/>
      <c r="K52" s="139"/>
      <c r="L52" s="202"/>
      <c r="M52" s="202"/>
      <c r="N52" s="202"/>
      <c r="O52" s="202"/>
      <c r="P52" s="202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</row>
    <row r="53" spans="2:27" ht="15" customHeight="1">
      <c r="I53" s="210" t="str">
        <f>IF(M53="","","ピッチは")</f>
        <v/>
      </c>
      <c r="J53" s="139"/>
      <c r="K53" s="139"/>
      <c r="L53" s="139"/>
      <c r="M53" s="211" t="str">
        <f>IF(塔内機器_計算用シート!D36="","",塔内機器_計算用シート!D36-塔内機器_計算用シート!D35)</f>
        <v/>
      </c>
      <c r="N53" s="202"/>
      <c r="O53" s="202"/>
      <c r="P53" s="202"/>
      <c r="Q53" s="202"/>
      <c r="R53" s="202"/>
      <c r="S53" s="210" t="str">
        <f>IF(M53="","","ｍｍ")</f>
        <v/>
      </c>
      <c r="T53" s="139"/>
    </row>
    <row r="54" spans="2:27" ht="15" customHeight="1">
      <c r="I54" s="139"/>
      <c r="J54" s="139"/>
      <c r="K54" s="139"/>
      <c r="L54" s="139"/>
      <c r="M54" s="202"/>
      <c r="N54" s="202"/>
      <c r="O54" s="202"/>
      <c r="P54" s="202"/>
      <c r="Q54" s="202"/>
      <c r="R54" s="202"/>
      <c r="S54" s="139"/>
      <c r="T54" s="139"/>
    </row>
    <row r="55" spans="2:27" ht="15" customHeight="1">
      <c r="B55" s="209" t="str">
        <f>IF(L55="","","6つ目は")</f>
        <v/>
      </c>
      <c r="C55" s="139"/>
      <c r="D55" s="139"/>
      <c r="E55" s="209" t="str">
        <f>IF(塔内機器_計算用シート!D36="","",VLOOKUP(塔内機器_計算用シート!D36,塔内機器_計算用シート!$I$5:$Q$28,9,TRUE))</f>
        <v/>
      </c>
      <c r="F55" s="139"/>
      <c r="G55" s="139"/>
      <c r="H55" s="209" t="str">
        <f>IF(L55="","","階FLから")</f>
        <v/>
      </c>
      <c r="I55" s="139"/>
      <c r="J55" s="139"/>
      <c r="K55" s="139"/>
      <c r="L55" s="212" t="str">
        <f>IF(塔内機器_計算用シート!D36="","",塔内機器_計算用シート!D36-VLOOKUP(塔内機器_計算用シート!D36,塔内機器_計算用シート!$I$5:$Q$28,1,TRUE))</f>
        <v/>
      </c>
      <c r="M55" s="202"/>
      <c r="N55" s="202"/>
      <c r="O55" s="202"/>
      <c r="P55" s="202"/>
      <c r="Q55" s="209" t="str">
        <f>IF(L55="","","ｍｍ")</f>
        <v/>
      </c>
      <c r="R55" s="139"/>
      <c r="S55" s="209" t="str">
        <f>IF(L55="","","の位置に")</f>
        <v/>
      </c>
      <c r="T55" s="139"/>
      <c r="U55" s="139"/>
      <c r="V55" s="209" t="str">
        <f>IF(L55="","",IF(塔内機器_計算用シート!Y37=6,"[ 2 ]","[ 1 ]"))</f>
        <v/>
      </c>
      <c r="W55" s="139"/>
      <c r="X55" s="139"/>
      <c r="Y55" s="209" t="str">
        <f>IF(L55="","","を取付け")</f>
        <v/>
      </c>
      <c r="Z55" s="139"/>
      <c r="AA55" s="139"/>
    </row>
    <row r="56" spans="2:27" ht="15" customHeight="1"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202"/>
      <c r="M56" s="202"/>
      <c r="N56" s="202"/>
      <c r="O56" s="202"/>
      <c r="P56" s="202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</row>
    <row r="57" spans="2:27" ht="15" customHeight="1"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202"/>
      <c r="M57" s="202"/>
      <c r="N57" s="202"/>
      <c r="O57" s="202"/>
      <c r="P57" s="202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</row>
    <row r="58" spans="2:27" ht="15" customHeight="1">
      <c r="I58" s="210" t="str">
        <f>IF(M58="","","ピッチは")</f>
        <v/>
      </c>
      <c r="J58" s="139"/>
      <c r="K58" s="139"/>
      <c r="L58" s="139"/>
      <c r="M58" s="211" t="str">
        <f>IF(塔内機器_計算用シート!D37="","",塔内機器_計算用シート!D37-塔内機器_計算用シート!D36)</f>
        <v/>
      </c>
      <c r="N58" s="202"/>
      <c r="O58" s="202"/>
      <c r="P58" s="202"/>
      <c r="Q58" s="202"/>
      <c r="R58" s="202"/>
      <c r="S58" s="210" t="str">
        <f>IF(M58="","","ｍｍ")</f>
        <v/>
      </c>
      <c r="T58" s="139"/>
    </row>
    <row r="59" spans="2:27" ht="15" customHeight="1">
      <c r="I59" s="139"/>
      <c r="J59" s="139"/>
      <c r="K59" s="139"/>
      <c r="L59" s="139"/>
      <c r="M59" s="202"/>
      <c r="N59" s="202"/>
      <c r="O59" s="202"/>
      <c r="P59" s="202"/>
      <c r="Q59" s="202"/>
      <c r="R59" s="202"/>
      <c r="S59" s="139"/>
      <c r="T59" s="139"/>
    </row>
    <row r="60" spans="2:27" ht="15" customHeight="1">
      <c r="B60" s="209" t="str">
        <f>IF(L60="","","7つ目は")</f>
        <v/>
      </c>
      <c r="C60" s="139"/>
      <c r="D60" s="139"/>
      <c r="E60" s="209" t="str">
        <f>IF(塔内機器_計算用シート!D37="","",VLOOKUP(塔内機器_計算用シート!D37,塔内機器_計算用シート!$I$5:$Q$28,9,TRUE))</f>
        <v/>
      </c>
      <c r="F60" s="139"/>
      <c r="G60" s="139"/>
      <c r="H60" s="209" t="str">
        <f>IF(L60="","","階FLから")</f>
        <v/>
      </c>
      <c r="I60" s="139"/>
      <c r="J60" s="139"/>
      <c r="K60" s="139"/>
      <c r="L60" s="212" t="str">
        <f>IF(塔内機器_計算用シート!D37="","",塔内機器_計算用シート!D37-VLOOKUP(塔内機器_計算用シート!D37,塔内機器_計算用シート!$I$5:$Q$28,1,TRUE))</f>
        <v/>
      </c>
      <c r="M60" s="202"/>
      <c r="N60" s="202"/>
      <c r="O60" s="202"/>
      <c r="P60" s="202"/>
      <c r="Q60" s="209" t="str">
        <f>IF(L60="","","ｍｍ")</f>
        <v/>
      </c>
      <c r="R60" s="139"/>
      <c r="S60" s="209" t="str">
        <f>IF(L60="","","の位置に")</f>
        <v/>
      </c>
      <c r="T60" s="139"/>
      <c r="U60" s="139"/>
      <c r="V60" s="209" t="str">
        <f>IF(L60="","",IF(塔内機器_計算用シート!Y37=7,"[ 2 ]","[ 1 ]"))</f>
        <v/>
      </c>
      <c r="W60" s="139"/>
      <c r="X60" s="139"/>
      <c r="Y60" s="209" t="str">
        <f>IF(L60="","","を取付け")</f>
        <v/>
      </c>
      <c r="Z60" s="139"/>
      <c r="AA60" s="139"/>
    </row>
    <row r="61" spans="2:27" ht="15" customHeight="1"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202"/>
      <c r="M61" s="202"/>
      <c r="N61" s="202"/>
      <c r="O61" s="202"/>
      <c r="P61" s="202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</row>
    <row r="62" spans="2:27" ht="15" customHeight="1">
      <c r="B62" s="139"/>
      <c r="C62" s="139"/>
      <c r="D62" s="139"/>
      <c r="E62" s="139"/>
      <c r="F62" s="139"/>
      <c r="G62" s="139"/>
      <c r="H62" s="139"/>
      <c r="I62" s="139"/>
      <c r="J62" s="139"/>
      <c r="K62" s="139"/>
      <c r="L62" s="202"/>
      <c r="M62" s="202"/>
      <c r="N62" s="202"/>
      <c r="O62" s="202"/>
      <c r="P62" s="202"/>
      <c r="Q62" s="139"/>
      <c r="R62" s="139"/>
      <c r="S62" s="139"/>
      <c r="T62" s="139"/>
      <c r="U62" s="139"/>
      <c r="V62" s="139"/>
      <c r="W62" s="139"/>
      <c r="X62" s="139"/>
      <c r="Y62" s="139"/>
      <c r="Z62" s="139"/>
      <c r="AA62" s="139"/>
    </row>
    <row r="63" spans="2:27" ht="15" customHeight="1">
      <c r="I63" s="210" t="str">
        <f>IF(M63="","","ピッチは")</f>
        <v/>
      </c>
      <c r="J63" s="139"/>
      <c r="K63" s="139"/>
      <c r="L63" s="139"/>
      <c r="M63" s="211" t="str">
        <f>IF(塔内機器_計算用シート!D38="","",塔内機器_計算用シート!D38-塔内機器_計算用シート!D37)</f>
        <v/>
      </c>
      <c r="N63" s="202"/>
      <c r="O63" s="202"/>
      <c r="P63" s="202"/>
      <c r="Q63" s="202"/>
      <c r="R63" s="202"/>
      <c r="S63" s="210" t="str">
        <f>IF(M63="","","ｍｍ")</f>
        <v/>
      </c>
      <c r="T63" s="139"/>
    </row>
    <row r="64" spans="2:27" ht="15" customHeight="1">
      <c r="I64" s="139"/>
      <c r="J64" s="139"/>
      <c r="K64" s="139"/>
      <c r="L64" s="139"/>
      <c r="M64" s="202"/>
      <c r="N64" s="202"/>
      <c r="O64" s="202"/>
      <c r="P64" s="202"/>
      <c r="Q64" s="202"/>
      <c r="R64" s="202"/>
      <c r="S64" s="139"/>
      <c r="T64" s="139"/>
    </row>
    <row r="65" spans="2:27" ht="15" customHeight="1">
      <c r="B65" s="209" t="str">
        <f>IF(L65="","","8つ目は")</f>
        <v/>
      </c>
      <c r="C65" s="139"/>
      <c r="D65" s="139"/>
      <c r="E65" s="209" t="str">
        <f>IF(塔内機器_計算用シート!D38="","",VLOOKUP(塔内機器_計算用シート!D38,塔内機器_計算用シート!$I$5:$Q$28,9,TRUE))</f>
        <v/>
      </c>
      <c r="F65" s="139"/>
      <c r="G65" s="139"/>
      <c r="H65" s="209" t="str">
        <f>IF(L65="","","階FLから")</f>
        <v/>
      </c>
      <c r="I65" s="139"/>
      <c r="J65" s="139"/>
      <c r="K65" s="139"/>
      <c r="L65" s="212" t="str">
        <f>IF(塔内機器_計算用シート!D38="","",塔内機器_計算用シート!D38-VLOOKUP(塔内機器_計算用シート!D38,塔内機器_計算用シート!$I$5:$Q$28,1,TRUE))</f>
        <v/>
      </c>
      <c r="M65" s="202"/>
      <c r="N65" s="202"/>
      <c r="O65" s="202"/>
      <c r="P65" s="202"/>
      <c r="Q65" s="209" t="str">
        <f>IF(L65="","","ｍｍ")</f>
        <v/>
      </c>
      <c r="R65" s="139"/>
      <c r="S65" s="209" t="str">
        <f>IF(L65="","","の位置に")</f>
        <v/>
      </c>
      <c r="T65" s="139"/>
      <c r="U65" s="139"/>
      <c r="V65" s="209" t="str">
        <f>IF(L65="","",IF(塔内機器_計算用シート!Y37=8,"[ 2 ]","[ 1 ]"))</f>
        <v/>
      </c>
      <c r="W65" s="139"/>
      <c r="X65" s="139"/>
      <c r="Y65" s="209" t="str">
        <f>IF(L65="","","を取付け")</f>
        <v/>
      </c>
      <c r="Z65" s="139"/>
      <c r="AA65" s="139"/>
    </row>
    <row r="66" spans="2:27" ht="15" customHeight="1">
      <c r="B66" s="139"/>
      <c r="C66" s="139"/>
      <c r="D66" s="139"/>
      <c r="E66" s="139"/>
      <c r="F66" s="139"/>
      <c r="G66" s="139"/>
      <c r="H66" s="139"/>
      <c r="I66" s="139"/>
      <c r="J66" s="139"/>
      <c r="K66" s="139"/>
      <c r="L66" s="202"/>
      <c r="M66" s="202"/>
      <c r="N66" s="202"/>
      <c r="O66" s="202"/>
      <c r="P66" s="202"/>
      <c r="Q66" s="139"/>
      <c r="R66" s="139"/>
      <c r="S66" s="139"/>
      <c r="T66" s="139"/>
      <c r="U66" s="139"/>
      <c r="V66" s="139"/>
      <c r="W66" s="139"/>
      <c r="X66" s="139"/>
      <c r="Y66" s="139"/>
      <c r="Z66" s="139"/>
      <c r="AA66" s="139"/>
    </row>
    <row r="67" spans="2:27" ht="15" customHeight="1">
      <c r="B67" s="139"/>
      <c r="C67" s="139"/>
      <c r="D67" s="139"/>
      <c r="E67" s="139"/>
      <c r="F67" s="139"/>
      <c r="G67" s="139"/>
      <c r="H67" s="139"/>
      <c r="I67" s="139"/>
      <c r="J67" s="139"/>
      <c r="K67" s="139"/>
      <c r="L67" s="202"/>
      <c r="M67" s="202"/>
      <c r="N67" s="202"/>
      <c r="O67" s="202"/>
      <c r="P67" s="202"/>
      <c r="Q67" s="139"/>
      <c r="R67" s="139"/>
      <c r="S67" s="139"/>
      <c r="T67" s="139"/>
      <c r="U67" s="139"/>
      <c r="V67" s="139"/>
      <c r="W67" s="139"/>
      <c r="X67" s="139"/>
      <c r="Y67" s="139"/>
      <c r="Z67" s="139"/>
      <c r="AA67" s="139"/>
    </row>
    <row r="68" spans="2:27" ht="15" customHeight="1">
      <c r="I68" s="210" t="str">
        <f>IF(M68="","","ピッチは")</f>
        <v/>
      </c>
      <c r="J68" s="139"/>
      <c r="K68" s="139"/>
      <c r="L68" s="139"/>
      <c r="M68" s="211" t="str">
        <f>IF(塔内機器_計算用シート!D39="","",塔内機器_計算用シート!D39-塔内機器_計算用シート!D38)</f>
        <v/>
      </c>
      <c r="N68" s="202"/>
      <c r="O68" s="202"/>
      <c r="P68" s="202"/>
      <c r="Q68" s="202"/>
      <c r="R68" s="202"/>
      <c r="S68" s="210" t="str">
        <f>IF(M68="","","ｍｍ")</f>
        <v/>
      </c>
      <c r="T68" s="139"/>
    </row>
    <row r="69" spans="2:27" ht="15" customHeight="1">
      <c r="I69" s="139"/>
      <c r="J69" s="139"/>
      <c r="K69" s="139"/>
      <c r="L69" s="139"/>
      <c r="M69" s="202"/>
      <c r="N69" s="202"/>
      <c r="O69" s="202"/>
      <c r="P69" s="202"/>
      <c r="Q69" s="202"/>
      <c r="R69" s="202"/>
      <c r="S69" s="139"/>
      <c r="T69" s="139"/>
    </row>
    <row r="70" spans="2:27" ht="15" customHeight="1">
      <c r="B70" s="209" t="str">
        <f>IF(L70="","","9つ目は")</f>
        <v/>
      </c>
      <c r="C70" s="139"/>
      <c r="D70" s="139"/>
      <c r="E70" s="209" t="str">
        <f>IF(塔内機器_計算用シート!D39="","",VLOOKUP(塔内機器_計算用シート!D39,塔内機器_計算用シート!$I$5:$Q$28,9,TRUE))</f>
        <v/>
      </c>
      <c r="F70" s="139"/>
      <c r="G70" s="139"/>
      <c r="H70" s="209" t="str">
        <f>IF(L70="","","階FLから")</f>
        <v/>
      </c>
      <c r="I70" s="139"/>
      <c r="J70" s="139"/>
      <c r="K70" s="139"/>
      <c r="L70" s="212" t="str">
        <f>IF(塔内機器_計算用シート!D39="","",塔内機器_計算用シート!D39-VLOOKUP(塔内機器_計算用シート!D39,塔内機器_計算用シート!$I$5:$Q$28,1,TRUE))</f>
        <v/>
      </c>
      <c r="M70" s="202"/>
      <c r="N70" s="202"/>
      <c r="O70" s="202"/>
      <c r="P70" s="202"/>
      <c r="Q70" s="209" t="str">
        <f>IF(L70="","","ｍｍ")</f>
        <v/>
      </c>
      <c r="R70" s="139"/>
      <c r="S70" s="209" t="str">
        <f>IF(L70="","","の位置に")</f>
        <v/>
      </c>
      <c r="T70" s="139"/>
      <c r="U70" s="139"/>
      <c r="V70" s="209" t="str">
        <f>IF(L70="","",IF(塔内機器_計算用シート!Y37=9,"[ 2 ]","[ 1 ]"))</f>
        <v/>
      </c>
      <c r="W70" s="139"/>
      <c r="X70" s="139"/>
      <c r="Y70" s="209" t="str">
        <f>IF(L70="","","を取付け")</f>
        <v/>
      </c>
      <c r="Z70" s="139"/>
      <c r="AA70" s="139"/>
    </row>
    <row r="71" spans="2:27"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202"/>
      <c r="M71" s="202"/>
      <c r="N71" s="202"/>
      <c r="O71" s="202"/>
      <c r="P71" s="202"/>
      <c r="Q71" s="139"/>
      <c r="R71" s="139"/>
      <c r="S71" s="139"/>
      <c r="T71" s="139"/>
      <c r="U71" s="139"/>
      <c r="V71" s="139"/>
      <c r="W71" s="139"/>
      <c r="X71" s="139"/>
      <c r="Y71" s="139"/>
      <c r="Z71" s="139"/>
      <c r="AA71" s="139"/>
    </row>
    <row r="72" spans="2:27"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202"/>
      <c r="M72" s="202"/>
      <c r="N72" s="202"/>
      <c r="O72" s="202"/>
      <c r="P72" s="202"/>
      <c r="Q72" s="139"/>
      <c r="R72" s="139"/>
      <c r="S72" s="139"/>
      <c r="T72" s="139"/>
      <c r="U72" s="139"/>
      <c r="V72" s="139"/>
      <c r="W72" s="139"/>
      <c r="X72" s="139"/>
      <c r="Y72" s="139"/>
      <c r="Z72" s="139"/>
      <c r="AA72" s="139"/>
    </row>
    <row r="75" spans="2:27">
      <c r="B75" s="191" t="str">
        <f>CONCATENATE(塔内機器_計算用シート!AH42,"　",IF(塔内機器_計算用シート!AH36&lt;&gt;"",塔内機器_計算用シート!AH36,塔内機器_計算用シート!Y23))</f>
        <v>v4　参照範囲内（設計妥当性は要照合）</v>
      </c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</row>
    <row r="76" spans="2:27"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</row>
  </sheetData>
  <sheetProtection sheet="1" objects="1" scenarios="1"/>
  <mergeCells count="118">
    <mergeCell ref="B75:AA76"/>
    <mergeCell ref="S70:U72"/>
    <mergeCell ref="V70:X72"/>
    <mergeCell ref="Y70:AA72"/>
    <mergeCell ref="B70:D72"/>
    <mergeCell ref="E70:G72"/>
    <mergeCell ref="H70:K72"/>
    <mergeCell ref="L70:P72"/>
    <mergeCell ref="Q70:R72"/>
    <mergeCell ref="S65:U67"/>
    <mergeCell ref="V65:X67"/>
    <mergeCell ref="Y65:AA67"/>
    <mergeCell ref="I68:L69"/>
    <mergeCell ref="M68:R69"/>
    <mergeCell ref="S68:T69"/>
    <mergeCell ref="B65:D67"/>
    <mergeCell ref="E65:G67"/>
    <mergeCell ref="H65:K67"/>
    <mergeCell ref="L65:P67"/>
    <mergeCell ref="Q65:R67"/>
    <mergeCell ref="S60:U62"/>
    <mergeCell ref="V60:X62"/>
    <mergeCell ref="Y60:AA62"/>
    <mergeCell ref="I63:L64"/>
    <mergeCell ref="M63:R64"/>
    <mergeCell ref="S63:T64"/>
    <mergeCell ref="B60:D62"/>
    <mergeCell ref="E60:G62"/>
    <mergeCell ref="H60:K62"/>
    <mergeCell ref="L60:P62"/>
    <mergeCell ref="Q60:R62"/>
    <mergeCell ref="S55:U57"/>
    <mergeCell ref="V55:X57"/>
    <mergeCell ref="Y55:AA57"/>
    <mergeCell ref="I58:L59"/>
    <mergeCell ref="M58:R59"/>
    <mergeCell ref="S58:T59"/>
    <mergeCell ref="B55:D57"/>
    <mergeCell ref="E55:G57"/>
    <mergeCell ref="H55:K57"/>
    <mergeCell ref="L55:P57"/>
    <mergeCell ref="Q55:R57"/>
    <mergeCell ref="S50:U52"/>
    <mergeCell ref="V50:X52"/>
    <mergeCell ref="Y50:AA52"/>
    <mergeCell ref="I53:L54"/>
    <mergeCell ref="M53:R54"/>
    <mergeCell ref="S53:T54"/>
    <mergeCell ref="B50:D52"/>
    <mergeCell ref="E50:G52"/>
    <mergeCell ref="H50:K52"/>
    <mergeCell ref="L50:P52"/>
    <mergeCell ref="Q50:R52"/>
    <mergeCell ref="S45:U47"/>
    <mergeCell ref="V45:X47"/>
    <mergeCell ref="Y45:AA47"/>
    <mergeCell ref="I48:L49"/>
    <mergeCell ref="M48:R49"/>
    <mergeCell ref="S48:T49"/>
    <mergeCell ref="B45:D47"/>
    <mergeCell ref="E45:G47"/>
    <mergeCell ref="H45:K47"/>
    <mergeCell ref="L45:P47"/>
    <mergeCell ref="Q45:R47"/>
    <mergeCell ref="S40:U42"/>
    <mergeCell ref="V40:X42"/>
    <mergeCell ref="Y40:AA42"/>
    <mergeCell ref="I43:L44"/>
    <mergeCell ref="M43:R44"/>
    <mergeCell ref="S43:T44"/>
    <mergeCell ref="B40:D42"/>
    <mergeCell ref="E40:G42"/>
    <mergeCell ref="H40:K42"/>
    <mergeCell ref="L40:P42"/>
    <mergeCell ref="Q40:R42"/>
    <mergeCell ref="S35:U37"/>
    <mergeCell ref="V35:X37"/>
    <mergeCell ref="Y35:AA37"/>
    <mergeCell ref="I38:L39"/>
    <mergeCell ref="M38:R39"/>
    <mergeCell ref="S38:T39"/>
    <mergeCell ref="B35:D37"/>
    <mergeCell ref="E35:G37"/>
    <mergeCell ref="H35:K37"/>
    <mergeCell ref="L35:P37"/>
    <mergeCell ref="Q35:R37"/>
    <mergeCell ref="S30:U32"/>
    <mergeCell ref="V30:X32"/>
    <mergeCell ref="Y30:AA32"/>
    <mergeCell ref="I33:L34"/>
    <mergeCell ref="M33:R34"/>
    <mergeCell ref="S33:T34"/>
    <mergeCell ref="B30:D32"/>
    <mergeCell ref="E30:G32"/>
    <mergeCell ref="H30:K32"/>
    <mergeCell ref="L30:P32"/>
    <mergeCell ref="Q30:R32"/>
    <mergeCell ref="B2:N4"/>
    <mergeCell ref="O2:AA4"/>
    <mergeCell ref="B8:AA10"/>
    <mergeCell ref="B11:M12"/>
    <mergeCell ref="B13:K15"/>
    <mergeCell ref="L13:M15"/>
    <mergeCell ref="B26:C27"/>
    <mergeCell ref="D26:S27"/>
    <mergeCell ref="T26:T29"/>
    <mergeCell ref="U26:Y29"/>
    <mergeCell ref="Z26:AA29"/>
    <mergeCell ref="B28:S29"/>
    <mergeCell ref="B17:AA19"/>
    <mergeCell ref="B20:S22"/>
    <mergeCell ref="T20:T22"/>
    <mergeCell ref="U20:AA22"/>
    <mergeCell ref="B23:C25"/>
    <mergeCell ref="D23:S25"/>
    <mergeCell ref="T23:T25"/>
    <mergeCell ref="U23:Y25"/>
    <mergeCell ref="Z23:AA25"/>
  </mergeCells>
  <phoneticPr fontId="155"/>
  <printOptions horizontalCentered="1"/>
  <pageMargins left="0.27777777777777779" right="0.27777777777777779" top="0.34722222222222221" bottom="0.34722222222222221" header="0.3" footer="0.3"/>
  <pageSetup paperSize="9" scale="73" orientation="portrait" r:id="rId1"/>
  <headerFooter>
    <oddFooter>&amp;R&amp;P / &amp;N&amp;Cv4 / 2026-09-24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76"/>
  <sheetViews>
    <sheetView zoomScaleNormal="100" workbookViewId="0"/>
  </sheetViews>
  <sheetFormatPr defaultColWidth="4" defaultRowHeight="14.25"/>
  <cols>
    <col min="1" max="15" width="4" customWidth="1"/>
  </cols>
  <sheetData>
    <row r="1" spans="1:27" ht="15" customHeight="1"/>
    <row r="2" spans="1:27" ht="15" customHeight="1">
      <c r="B2" s="162" t="s">
        <v>278</v>
      </c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72" t="s">
        <v>279</v>
      </c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</row>
    <row r="3" spans="1:27" ht="15" customHeight="1">
      <c r="B3" s="139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</row>
    <row r="4" spans="1:27" ht="15" customHeight="1">
      <c r="B4" s="139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</row>
    <row r="5" spans="1:27" ht="15" customHeight="1"/>
    <row r="6" spans="1:27" ht="15" customHeight="1">
      <c r="B6" s="194" t="s">
        <v>280</v>
      </c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</row>
    <row r="7" spans="1:27" ht="15" customHeight="1"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</row>
    <row r="8" spans="1:27" ht="15" customHeight="1"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</row>
    <row r="9" spans="1:27" ht="15" customHeight="1"/>
    <row r="10" spans="1:27" ht="15" customHeight="1"/>
    <row r="11" spans="1:27" ht="15" customHeight="1">
      <c r="J11" s="180" t="s">
        <v>281</v>
      </c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</row>
    <row r="12" spans="1:27" ht="15" customHeight="1"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</row>
    <row r="13" spans="1:27" ht="15" customHeight="1">
      <c r="J13" s="139"/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</row>
    <row r="14" spans="1:27" ht="15" customHeight="1">
      <c r="A14" s="50">
        <v>1</v>
      </c>
      <c r="B14" s="200" t="str">
        <f>IF(塔内機器_計算用シート!Y22=0,"",IF(塔内機器_入力①!$E$38&lt;&gt;"",塔内機器_入力①!$B36,""))</f>
        <v>1</v>
      </c>
      <c r="C14" s="139"/>
      <c r="D14" s="200" t="s">
        <v>282</v>
      </c>
      <c r="E14" s="200" t="str">
        <f>IF(塔内機器_計算用シート!Y22=0,"",IF(塔内機器_入力①!$E$38&lt;&gt;"",塔内機器_入力①!$B40,""))</f>
        <v>2</v>
      </c>
      <c r="F14" s="139"/>
      <c r="G14" s="180" t="s">
        <v>266</v>
      </c>
      <c r="H14" s="139"/>
      <c r="I14" s="180" t="s">
        <v>283</v>
      </c>
      <c r="J14" s="213" t="str">
        <f>IF(塔内機器_計算用シート!Y22=0,"",IF(1&gt;MAX(塔内機器_計算用シート!$E$45:$E$68)-1,"",IFERROR(VLOOKUP(1,塔内機器_計算用シート!$E$45:$K$68,7,FALSE),"")))</f>
        <v>420【1】+800【1】</v>
      </c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</row>
    <row r="15" spans="1:27" ht="15" customHeight="1">
      <c r="A15" s="50">
        <v>2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</row>
    <row r="16" spans="1:27" ht="15" customHeight="1">
      <c r="A16" s="50">
        <v>3</v>
      </c>
      <c r="B16" s="200" t="str">
        <f>IF(塔内機器_計算用シート!Y22=0,"",IF(塔内機器_入力①!$E$42&lt;&gt;"",塔内機器_入力①!$B40,""))</f>
        <v>2</v>
      </c>
      <c r="C16" s="139"/>
      <c r="D16" s="200" t="s">
        <v>282</v>
      </c>
      <c r="E16" s="200" t="str">
        <f>IF(塔内機器_計算用シート!Y22=0,"",IF(塔内機器_入力①!$E$42&lt;&gt;"",塔内機器_入力①!$B44,""))</f>
        <v>3</v>
      </c>
      <c r="F16" s="139"/>
      <c r="G16" s="180" t="s">
        <v>266</v>
      </c>
      <c r="H16" s="139"/>
      <c r="I16" s="180" t="s">
        <v>283</v>
      </c>
      <c r="J16" s="213" t="str">
        <f>IF(塔内機器_計算用シート!Y22=0,"",IF(2&gt;MAX(塔内機器_計算用シート!$E$45:$E$68)-1,"",IFERROR(VLOOKUP(2,塔内機器_計算用シート!$E$45:$K$68,7,FALSE),"")))</f>
        <v>820【1】</v>
      </c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</row>
    <row r="17" spans="1:27" ht="15" customHeight="1">
      <c r="A17" s="50">
        <v>4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</row>
    <row r="18" spans="1:27" ht="15" customHeight="1">
      <c r="A18" s="50">
        <v>5</v>
      </c>
      <c r="B18" s="200" t="str">
        <f>IF(塔内機器_計算用シート!Y22=0,"",IF(塔内機器_入力①!$E$46&lt;&gt;"",塔内機器_入力①!$B44,""))</f>
        <v>3</v>
      </c>
      <c r="C18" s="139"/>
      <c r="D18" s="200" t="s">
        <v>282</v>
      </c>
      <c r="E18" s="200" t="str">
        <f>IF(塔内機器_計算用シート!Y22=0,"",IF(塔内機器_入力①!$E$46&lt;&gt;"",塔内機器_入力①!$B48,""))</f>
        <v>4</v>
      </c>
      <c r="F18" s="139"/>
      <c r="G18" s="180" t="s">
        <v>266</v>
      </c>
      <c r="H18" s="139"/>
      <c r="I18" s="180" t="s">
        <v>283</v>
      </c>
      <c r="J18" s="213" t="str">
        <f>IF(塔内機器_計算用シート!Y22=0,"",IF(3&gt;MAX(塔内機器_計算用シート!$E$45:$E$68)-1,"",IFERROR(VLOOKUP(3,塔内機器_計算用シート!$E$45:$K$68,7,FALSE),"")))</f>
        <v>820【1】</v>
      </c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</row>
    <row r="19" spans="1:27" ht="15" customHeight="1">
      <c r="A19" s="50">
        <v>6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</row>
    <row r="20" spans="1:27" ht="15" customHeight="1">
      <c r="A20" s="50">
        <v>7</v>
      </c>
      <c r="B20" s="200" t="str">
        <f>IF(塔内機器_計算用シート!Y22=0,"",IF(塔内機器_入力①!$E$50&lt;&gt;"",塔内機器_入力①!$B48,""))</f>
        <v>4</v>
      </c>
      <c r="C20" s="139"/>
      <c r="D20" s="200" t="s">
        <v>282</v>
      </c>
      <c r="E20" s="200" t="str">
        <f>IF(塔内機器_計算用シート!Y22=0,"",IF(塔内機器_入力①!$E$50&lt;&gt;"",塔内機器_入力①!$B52,""))</f>
        <v>5</v>
      </c>
      <c r="F20" s="139"/>
      <c r="G20" s="180" t="s">
        <v>266</v>
      </c>
      <c r="H20" s="139"/>
      <c r="I20" s="180" t="s">
        <v>283</v>
      </c>
      <c r="J20" s="213" t="str">
        <f>IF(塔内機器_計算用シート!Y22=0,"",IF(4&gt;MAX(塔内機器_計算用シート!$E$45:$E$68)-1,"",IFERROR(VLOOKUP(4,塔内機器_計算用シート!$E$45:$K$68,7,FALSE),"")))</f>
        <v>820【1】</v>
      </c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</row>
    <row r="21" spans="1:27" ht="15" customHeight="1">
      <c r="A21" s="50">
        <v>8</v>
      </c>
      <c r="B21" s="139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</row>
    <row r="22" spans="1:27" ht="15" customHeight="1">
      <c r="A22" s="50">
        <v>9</v>
      </c>
      <c r="B22" s="200" t="str">
        <f>IF(塔内機器_入力①!$E$54&lt;&gt;"",塔内機器_入力①!$B52,"")</f>
        <v>5</v>
      </c>
      <c r="C22" s="139"/>
      <c r="D22" s="200" t="s">
        <v>282</v>
      </c>
      <c r="E22" s="200" t="str">
        <f>IF(塔内機器_計算用シート!Y22=0,"",IF(塔内機器_入力①!$E$54&lt;&gt;"",塔内機器_入力①!$B56,""))</f>
        <v>6</v>
      </c>
      <c r="F22" s="139"/>
      <c r="G22" s="180" t="s">
        <v>266</v>
      </c>
      <c r="H22" s="139"/>
      <c r="I22" s="180" t="s">
        <v>283</v>
      </c>
      <c r="J22" s="213" t="str">
        <f>IF(塔内機器_計算用シート!Y22=0,"",IF(5&gt;MAX(塔内機器_計算用シート!$E$45:$E$68)-1,"",IFERROR(VLOOKUP(5,塔内機器_計算用シート!$E$45:$K$68,7,FALSE),"")))</f>
        <v>720【1】</v>
      </c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</row>
    <row r="23" spans="1:27" ht="15" customHeight="1">
      <c r="A23" s="50">
        <v>10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</row>
    <row r="24" spans="1:27" ht="15" customHeight="1">
      <c r="A24" s="50">
        <v>11</v>
      </c>
      <c r="B24" s="200" t="str">
        <f>IF(塔内機器_計算用シート!Y22=0,"",IF(塔内機器_入力①!$E$58&lt;&gt;"",塔内機器_入力①!$B56,""))</f>
        <v>6</v>
      </c>
      <c r="C24" s="139"/>
      <c r="D24" s="200" t="s">
        <v>282</v>
      </c>
      <c r="E24" s="200" t="str">
        <f>IF(塔内機器_計算用シート!Y22=0,"",IF(塔内機器_入力①!$E$58&lt;&gt;"",塔内機器_入力①!$B60,""))</f>
        <v>7</v>
      </c>
      <c r="F24" s="139"/>
      <c r="G24" s="180" t="s">
        <v>266</v>
      </c>
      <c r="H24" s="139"/>
      <c r="I24" s="180" t="s">
        <v>283</v>
      </c>
      <c r="J24" s="213" t="str">
        <f>IF(塔内機器_計算用シート!Y22=0,"",IF(6&gt;MAX(塔内機器_計算用シート!$E$45:$E$68)-1,"",IFERROR(VLOOKUP(6,塔内機器_計算用シート!$E$45:$K$68,7,FALSE),"")))</f>
        <v>720【1】</v>
      </c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</row>
    <row r="25" spans="1:27" ht="15" customHeight="1">
      <c r="A25" s="50">
        <v>12</v>
      </c>
      <c r="B25" s="139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</row>
    <row r="26" spans="1:27" ht="15" customHeight="1">
      <c r="A26" s="50">
        <v>13</v>
      </c>
      <c r="B26" s="200" t="str">
        <f>IF(塔内機器_計算用シート!Y22=0,"",IF(塔内機器_入力①!$E$62&lt;&gt;"",塔内機器_入力①!$B60,""))</f>
        <v/>
      </c>
      <c r="C26" s="139"/>
      <c r="D26" s="200" t="s">
        <v>282</v>
      </c>
      <c r="E26" s="200" t="str">
        <f>IF(塔内機器_計算用シート!Y22=0,"",IF(塔内機器_入力①!$E$62&lt;&gt;"",塔内機器_入力①!$B64,""))</f>
        <v/>
      </c>
      <c r="F26" s="139"/>
      <c r="G26" s="180" t="s">
        <v>266</v>
      </c>
      <c r="H26" s="139"/>
      <c r="I26" s="180" t="s">
        <v>283</v>
      </c>
      <c r="J26" s="213" t="str">
        <f>IF(塔内機器_計算用シート!Y22=0,"",IF(7&gt;MAX(塔内機器_計算用シート!$E$45:$E$68)-1,"",IFERROR(VLOOKUP(7,塔内機器_計算用シート!$E$45:$K$68,7,FALSE),"")))</f>
        <v/>
      </c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</row>
    <row r="27" spans="1:27" ht="15" customHeight="1">
      <c r="A27" s="50">
        <v>14</v>
      </c>
      <c r="B27" s="139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</row>
    <row r="28" spans="1:27" ht="15" customHeight="1">
      <c r="A28" s="50">
        <v>15</v>
      </c>
      <c r="B28" s="200" t="str">
        <f>IF(塔内機器_計算用シート!Y22=0,"",IF(塔内機器_入力①!$E$66&lt;&gt;"",塔内機器_入力①!$B64,""))</f>
        <v/>
      </c>
      <c r="C28" s="139"/>
      <c r="D28" s="200" t="s">
        <v>282</v>
      </c>
      <c r="E28" s="200" t="str">
        <f>IF(塔内機器_計算用シート!Y22=0,"",IF(塔内機器_入力①!$E$66&lt;&gt;"",塔内機器_入力①!$K36,""))</f>
        <v/>
      </c>
      <c r="F28" s="139"/>
      <c r="G28" s="180" t="s">
        <v>266</v>
      </c>
      <c r="H28" s="139"/>
      <c r="I28" s="180" t="s">
        <v>283</v>
      </c>
      <c r="J28" s="213" t="str">
        <f>IF(塔内機器_計算用シート!Y22=0,"",IF(8&gt;MAX(塔内機器_計算用シート!$E$45:$E$68)-1,"",IFERROR(VLOOKUP(8,塔内機器_計算用シート!$E$45:$K$68,7,FALSE),"")))</f>
        <v/>
      </c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</row>
    <row r="29" spans="1:27" ht="15" customHeight="1">
      <c r="A29" s="50">
        <v>16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</row>
    <row r="30" spans="1:27" ht="15" customHeight="1">
      <c r="A30" s="50">
        <v>17</v>
      </c>
      <c r="B30" s="200" t="str">
        <f>IF(塔内機器_計算用シート!Y22=0,"",IF(塔内機器_入力①!$N$38&lt;&gt;"",塔内機器_入力①!$K36,""))</f>
        <v/>
      </c>
      <c r="C30" s="139"/>
      <c r="D30" s="200" t="s">
        <v>282</v>
      </c>
      <c r="E30" s="200" t="str">
        <f>IF(塔内機器_計算用シート!Y22=0,"",IF(塔内機器_入力①!$N$38&lt;&gt;"",塔内機器_入力①!$K40,""))</f>
        <v/>
      </c>
      <c r="F30" s="139"/>
      <c r="G30" s="180" t="s">
        <v>266</v>
      </c>
      <c r="H30" s="139"/>
      <c r="I30" s="180" t="s">
        <v>283</v>
      </c>
      <c r="J30" s="213" t="str">
        <f>IF(塔内機器_計算用シート!Y22=0,"",IF(9&gt;MAX(塔内機器_計算用シート!$E$45:$E$68)-1,"",IFERROR(VLOOKUP(9,塔内機器_計算用シート!$E$45:$K$68,7,FALSE),"")))</f>
        <v/>
      </c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</row>
    <row r="31" spans="1:27" ht="15" customHeight="1">
      <c r="A31" s="50">
        <v>18</v>
      </c>
      <c r="B31" s="139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</row>
    <row r="32" spans="1:27" ht="15" customHeight="1">
      <c r="A32" s="50">
        <v>19</v>
      </c>
      <c r="B32" s="200" t="str">
        <f>IF(塔内機器_計算用シート!Y22=0,"",IF(塔内機器_入力①!$N$42&lt;&gt;"",塔内機器_入力①!$K40,""))</f>
        <v/>
      </c>
      <c r="C32" s="139"/>
      <c r="D32" s="200" t="s">
        <v>282</v>
      </c>
      <c r="E32" s="200" t="str">
        <f>IF(塔内機器_計算用シート!Y22=0,"",IF(塔内機器_入力①!$N$42&lt;&gt;"",塔内機器_入力①!$K44,""))</f>
        <v/>
      </c>
      <c r="F32" s="139"/>
      <c r="G32" s="180" t="s">
        <v>266</v>
      </c>
      <c r="H32" s="139"/>
      <c r="I32" s="180" t="s">
        <v>283</v>
      </c>
      <c r="J32" s="213" t="str">
        <f>IF(塔内機器_計算用シート!Y22=0,"",IF(10&gt;MAX(塔内機器_計算用シート!$E$45:$E$68)-1,"",IFERROR(VLOOKUP(10,塔内機器_計算用シート!$E$45:$K$68,7,FALSE),"")))</f>
        <v/>
      </c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</row>
    <row r="33" spans="1:27" ht="15" customHeight="1">
      <c r="A33" s="50">
        <v>20</v>
      </c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</row>
    <row r="34" spans="1:27" ht="15" customHeight="1">
      <c r="A34" s="50">
        <v>21</v>
      </c>
      <c r="B34" s="200" t="str">
        <f>IF(塔内機器_計算用シート!Y22=0,"",IF(塔内機器_入力①!$N$46&lt;&gt;"",塔内機器_入力①!$K44,""))</f>
        <v/>
      </c>
      <c r="C34" s="139"/>
      <c r="D34" s="200" t="s">
        <v>282</v>
      </c>
      <c r="E34" s="200" t="str">
        <f>IF(塔内機器_計算用シート!Y22=0,"",IF(塔内機器_入力①!$N$46&lt;&gt;"",塔内機器_入力①!$K48,""))</f>
        <v/>
      </c>
      <c r="F34" s="139"/>
      <c r="G34" s="180" t="s">
        <v>266</v>
      </c>
      <c r="H34" s="139"/>
      <c r="I34" s="180" t="s">
        <v>283</v>
      </c>
      <c r="J34" s="213" t="str">
        <f>IF(塔内機器_計算用シート!Y22=0,"",IF(11&gt;MAX(塔内機器_計算用シート!$E$45:$E$68)-1,"",IFERROR(VLOOKUP(11,塔内機器_計算用シート!$E$45:$K$68,7,FALSE),"")))</f>
        <v/>
      </c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</row>
    <row r="35" spans="1:27" ht="15" customHeight="1">
      <c r="A35" s="50">
        <v>22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</row>
    <row r="36" spans="1:27" ht="15" customHeight="1">
      <c r="A36" s="50">
        <v>23</v>
      </c>
      <c r="B36" s="200" t="str">
        <f>IF(塔内機器_計算用シート!Y22=0,"",IF(塔内機器_入力①!$N$50&lt;&gt;"",塔内機器_入力①!$K48,""))</f>
        <v/>
      </c>
      <c r="C36" s="139"/>
      <c r="D36" s="200" t="s">
        <v>282</v>
      </c>
      <c r="E36" s="200" t="str">
        <f>IF(塔内機器_計算用シート!Y22=0,"",IF(塔内機器_入力①!$N$50&lt;&gt;"",塔内機器_入力①!$K52,""))</f>
        <v/>
      </c>
      <c r="F36" s="139"/>
      <c r="G36" s="180" t="s">
        <v>266</v>
      </c>
      <c r="H36" s="139"/>
      <c r="I36" s="180" t="s">
        <v>283</v>
      </c>
      <c r="J36" s="213" t="str">
        <f>IF(塔内機器_計算用シート!Y22=0,"",IF(12&gt;MAX(塔内機器_計算用シート!$E$45:$E$68)-1,"",IFERROR(VLOOKUP(12,塔内機器_計算用シート!$E$45:$K$68,7,FALSE),"")))</f>
        <v/>
      </c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</row>
    <row r="37" spans="1:27" ht="15" customHeight="1">
      <c r="B37" s="139"/>
      <c r="C37" s="139"/>
      <c r="D37" s="139"/>
      <c r="E37" s="139"/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</row>
    <row r="38" spans="1:27" ht="15" customHeight="1">
      <c r="B38" s="200" t="str">
        <f>IF(塔内機器_計算用シート!Y22=0,"",IF(塔内機器_入力①!$N$54&lt;&gt;"",塔内機器_入力①!$K52,""))</f>
        <v/>
      </c>
      <c r="C38" s="139"/>
      <c r="D38" s="200" t="s">
        <v>282</v>
      </c>
      <c r="E38" s="200" t="str">
        <f>IF(塔内機器_計算用シート!Y22=0,"",IF(塔内機器_入力①!$N$54&lt;&gt;"",塔内機器_入力①!$K56,""))</f>
        <v/>
      </c>
      <c r="F38" s="139"/>
      <c r="G38" s="180" t="s">
        <v>266</v>
      </c>
      <c r="H38" s="139"/>
      <c r="I38" s="180" t="s">
        <v>283</v>
      </c>
      <c r="J38" s="213" t="str">
        <f>IF(塔内機器_計算用シート!Y22=0,"",IF(13&gt;MAX(塔内機器_計算用シート!$E$45:$E$68)-1,"",IFERROR(VLOOKUP(13,塔内機器_計算用シート!$E$45:$K$68,7,FALSE),"")))</f>
        <v/>
      </c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</row>
    <row r="39" spans="1:27" ht="15" customHeight="1">
      <c r="B39" s="139"/>
      <c r="C39" s="139"/>
      <c r="D39" s="139"/>
      <c r="E39" s="139"/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</row>
    <row r="40" spans="1:27" ht="15" customHeight="1">
      <c r="B40" s="200" t="str">
        <f>IF(塔内機器_計算用シート!Y22=0,"",IF(塔内機器_入力①!$N$58&lt;&gt;"",塔内機器_入力①!$K56,""))</f>
        <v/>
      </c>
      <c r="C40" s="139"/>
      <c r="D40" s="200" t="s">
        <v>282</v>
      </c>
      <c r="E40" s="200" t="str">
        <f>IF(塔内機器_計算用シート!Y22=0,"",IF(塔内機器_入力①!$N$58&lt;&gt;"",塔内機器_入力①!$K60,""))</f>
        <v/>
      </c>
      <c r="F40" s="139"/>
      <c r="G40" s="180" t="s">
        <v>266</v>
      </c>
      <c r="H40" s="139"/>
      <c r="I40" s="180" t="s">
        <v>283</v>
      </c>
      <c r="J40" s="213" t="str">
        <f>IF(塔内機器_計算用シート!Y22=0,"",IF(14&gt;MAX(塔内機器_計算用シート!$E$45:$E$68)-1,"",IFERROR(VLOOKUP(14,塔内機器_計算用シート!$E$45:$K$68,7,FALSE),"")))</f>
        <v/>
      </c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</row>
    <row r="41" spans="1:27" ht="15" customHeight="1">
      <c r="B41" s="139"/>
      <c r="C41" s="139"/>
      <c r="D41" s="139"/>
      <c r="E41" s="139"/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</row>
    <row r="42" spans="1:27" ht="15" customHeight="1">
      <c r="B42" s="200" t="str">
        <f>IF(塔内機器_計算用シート!Y22=0,"",IF(塔内機器_入力①!$N$62&lt;&gt;"",塔内機器_入力①!$K60,""))</f>
        <v/>
      </c>
      <c r="C42" s="139"/>
      <c r="D42" s="200" t="s">
        <v>282</v>
      </c>
      <c r="E42" s="200" t="str">
        <f>IF(塔内機器_計算用シート!Y22=0,"",IF(塔内機器_入力①!$N$62&lt;&gt;"",塔内機器_入力①!$K64,""))</f>
        <v/>
      </c>
      <c r="F42" s="139"/>
      <c r="G42" s="180" t="s">
        <v>266</v>
      </c>
      <c r="H42" s="139"/>
      <c r="I42" s="180" t="s">
        <v>283</v>
      </c>
      <c r="J42" s="213" t="str">
        <f>IF(塔内機器_計算用シート!Y22=0,"",IF(15&gt;MAX(塔内機器_計算用シート!$E$45:$E$68)-1,"",IFERROR(VLOOKUP(15,塔内機器_計算用シート!$E$45:$K$68,7,FALSE),"")))</f>
        <v/>
      </c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</row>
    <row r="43" spans="1:27" ht="15" customHeight="1">
      <c r="B43" s="139"/>
      <c r="C43" s="139"/>
      <c r="D43" s="139"/>
      <c r="E43" s="139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  <c r="Z43" s="139"/>
      <c r="AA43" s="139"/>
    </row>
    <row r="44" spans="1:27" ht="15" customHeight="1">
      <c r="B44" s="200" t="str">
        <f>IF(塔内機器_計算用シート!Y22=0,"",IF(塔内機器_入力①!$N$66&lt;&gt;"",塔内機器_入力①!$K64,""))</f>
        <v/>
      </c>
      <c r="C44" s="139"/>
      <c r="D44" s="200" t="s">
        <v>282</v>
      </c>
      <c r="E44" s="200" t="str">
        <f>IF(塔内機器_計算用シート!Y22=0,"",IF(塔内機器_入力①!$N$66&lt;&gt;"",塔内機器_入力①!$T36,""))</f>
        <v/>
      </c>
      <c r="F44" s="139"/>
      <c r="G44" s="180" t="s">
        <v>266</v>
      </c>
      <c r="H44" s="139"/>
      <c r="I44" s="180" t="s">
        <v>283</v>
      </c>
      <c r="J44" s="213" t="str">
        <f>IF(塔内機器_計算用シート!Y22=0,"",IF(16&gt;MAX(塔内機器_計算用シート!$E$45:$E$68)-1,"",IFERROR(VLOOKUP(16,塔内機器_計算用シート!$E$45:$K$68,7,FALSE),"")))</f>
        <v/>
      </c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</row>
    <row r="45" spans="1:27" ht="15" customHeight="1">
      <c r="B45" s="139"/>
      <c r="C45" s="139"/>
      <c r="D45" s="139"/>
      <c r="E45" s="139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  <c r="Z45" s="139"/>
      <c r="AA45" s="139"/>
    </row>
    <row r="46" spans="1:27" ht="15" customHeight="1">
      <c r="B46" s="200" t="str">
        <f>IF(塔内機器_計算用シート!Y22=0,"",IF(塔内機器_入力①!$W$38&lt;&gt;"",塔内機器_入力①!$T36,""))</f>
        <v/>
      </c>
      <c r="C46" s="139"/>
      <c r="D46" s="200" t="s">
        <v>282</v>
      </c>
      <c r="E46" s="200" t="str">
        <f>IF(塔内機器_計算用シート!Y22=0,"",IF(塔内機器_入力①!$W$38&lt;&gt;"",塔内機器_入力①!$T40,""))</f>
        <v/>
      </c>
      <c r="F46" s="139"/>
      <c r="G46" s="180" t="s">
        <v>266</v>
      </c>
      <c r="H46" s="139"/>
      <c r="I46" s="180" t="s">
        <v>283</v>
      </c>
      <c r="J46" s="213" t="str">
        <f>IF(塔内機器_計算用シート!Y22=0,"",IF(17&gt;MAX(塔内機器_計算用シート!$E$45:$E$68)-1,"",IFERROR(VLOOKUP(17,塔内機器_計算用シート!$E$45:$K$68,7,FALSE),"")))</f>
        <v/>
      </c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  <c r="Z46" s="139"/>
      <c r="AA46" s="139"/>
    </row>
    <row r="47" spans="1:27" ht="15" customHeight="1"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</row>
    <row r="48" spans="1:27" ht="15" customHeight="1">
      <c r="B48" s="200" t="str">
        <f>IF(塔内機器_計算用シート!Y22=0,"",IF(塔内機器_入力①!$W$42&lt;&gt;"",塔内機器_入力①!$T40,""))</f>
        <v/>
      </c>
      <c r="C48" s="139"/>
      <c r="D48" s="200" t="s">
        <v>282</v>
      </c>
      <c r="E48" s="200" t="str">
        <f>IF(塔内機器_計算用シート!Y22=0,"",IF(塔内機器_入力①!$W$42&lt;&gt;"",塔内機器_入力①!$T44,""))</f>
        <v/>
      </c>
      <c r="F48" s="139"/>
      <c r="G48" s="180" t="s">
        <v>266</v>
      </c>
      <c r="H48" s="139"/>
      <c r="I48" s="180" t="s">
        <v>283</v>
      </c>
      <c r="J48" s="213" t="str">
        <f>IF(塔内機器_計算用シート!Y22=0,"",IF(18&gt;MAX(塔内機器_計算用シート!$E$45:$E$68)-1,"",IFERROR(VLOOKUP(18,塔内機器_計算用シート!$E$45:$K$68,7,FALSE),"")))</f>
        <v/>
      </c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</row>
    <row r="49" spans="2:27" ht="15" customHeight="1">
      <c r="B49" s="139"/>
      <c r="C49" s="139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</row>
    <row r="50" spans="2:27" ht="15" customHeight="1">
      <c r="B50" s="200" t="str">
        <f>IF(塔内機器_計算用シート!Y22=0,"",IF(塔内機器_入力①!$W$46&lt;&gt;"",塔内機器_入力①!$T44,""))</f>
        <v/>
      </c>
      <c r="C50" s="139"/>
      <c r="D50" s="200" t="s">
        <v>282</v>
      </c>
      <c r="E50" s="200" t="str">
        <f>IF(塔内機器_計算用シート!Y22=0,"",IF(塔内機器_入力①!$W$46&lt;&gt;"",塔内機器_入力①!$T48,""))</f>
        <v/>
      </c>
      <c r="F50" s="139"/>
      <c r="G50" s="180" t="s">
        <v>266</v>
      </c>
      <c r="H50" s="139"/>
      <c r="I50" s="180" t="s">
        <v>283</v>
      </c>
      <c r="J50" s="213" t="str">
        <f>IF(塔内機器_計算用シート!Y22=0,"",IF(19&gt;MAX(塔内機器_計算用シート!$E$45:$E$68)-1,"",IFERROR(VLOOKUP(19,塔内機器_計算用シート!$E$45:$K$68,7,FALSE),"")))</f>
        <v/>
      </c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  <c r="Z50" s="139"/>
      <c r="AA50" s="139"/>
    </row>
    <row r="51" spans="2:27" ht="15" customHeight="1">
      <c r="B51" s="139"/>
      <c r="C51" s="139"/>
      <c r="D51" s="139"/>
      <c r="E51" s="139"/>
      <c r="F51" s="139"/>
      <c r="G51" s="139"/>
      <c r="H51" s="139"/>
      <c r="I51" s="139"/>
      <c r="J51" s="139"/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  <c r="Z51" s="139"/>
      <c r="AA51" s="139"/>
    </row>
    <row r="52" spans="2:27" ht="15" customHeight="1">
      <c r="B52" s="200" t="str">
        <f>IF(塔内機器_計算用シート!Y22=0,"",IF(塔内機器_入力①!$W$50&lt;&gt;"",塔内機器_入力①!$T48,""))</f>
        <v/>
      </c>
      <c r="C52" s="139"/>
      <c r="D52" s="200" t="s">
        <v>282</v>
      </c>
      <c r="E52" s="200" t="str">
        <f>IF(塔内機器_計算用シート!Y22=0,"",IF(塔内機器_入力①!$W$50&lt;&gt;"",塔内機器_入力①!$T52,""))</f>
        <v/>
      </c>
      <c r="F52" s="139"/>
      <c r="G52" s="180" t="s">
        <v>266</v>
      </c>
      <c r="H52" s="139"/>
      <c r="I52" s="180" t="s">
        <v>283</v>
      </c>
      <c r="J52" s="213" t="str">
        <f>IF(塔内機器_計算用シート!Y22=0,"",IF(20&gt;MAX(塔内機器_計算用シート!$E$45:$E$68)-1,"",IFERROR(VLOOKUP(20,塔内機器_計算用シート!$E$45:$K$68,7,FALSE),"")))</f>
        <v/>
      </c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</row>
    <row r="53" spans="2:27" ht="15" customHeight="1">
      <c r="B53" s="139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</row>
    <row r="54" spans="2:27" ht="15" customHeight="1">
      <c r="B54" s="200" t="str">
        <f>IF(塔内機器_計算用シート!Y22=0,"",IF(塔内機器_入力①!$W$54&lt;&gt;"",塔内機器_入力①!$T52,""))</f>
        <v/>
      </c>
      <c r="C54" s="139"/>
      <c r="D54" s="200" t="s">
        <v>282</v>
      </c>
      <c r="E54" s="200" t="str">
        <f>IF(塔内機器_計算用シート!Y22=0,"",IF(塔内機器_入力①!$W$54&lt;&gt;"",塔内機器_入力①!$T56,""))</f>
        <v/>
      </c>
      <c r="F54" s="139"/>
      <c r="G54" s="180" t="s">
        <v>266</v>
      </c>
      <c r="H54" s="139"/>
      <c r="I54" s="180" t="s">
        <v>283</v>
      </c>
      <c r="J54" s="213" t="str">
        <f>IF(塔内機器_計算用シート!Y22=0,"",IF(21&gt;MAX(塔内機器_計算用シート!$E$45:$E$68)-1,"",IFERROR(VLOOKUP(21,塔内機器_計算用シート!$E$45:$K$68,7,FALSE),"")))</f>
        <v/>
      </c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</row>
    <row r="55" spans="2:27" ht="15" customHeight="1">
      <c r="B55" s="139"/>
      <c r="C55" s="139"/>
      <c r="D55" s="139"/>
      <c r="E55" s="139"/>
      <c r="F55" s="139"/>
      <c r="G55" s="139"/>
      <c r="H55" s="139"/>
      <c r="I55" s="139"/>
      <c r="J55" s="139"/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  <c r="Z55" s="139"/>
      <c r="AA55" s="139"/>
    </row>
    <row r="56" spans="2:27" ht="15" customHeight="1">
      <c r="B56" s="200" t="str">
        <f>IF(塔内機器_計算用シート!Y22=0,"",IF(塔内機器_入力①!$W$58&lt;&gt;"",塔内機器_入力①!$T56,""))</f>
        <v/>
      </c>
      <c r="C56" s="139"/>
      <c r="D56" s="200" t="s">
        <v>282</v>
      </c>
      <c r="E56" s="200" t="str">
        <f>IF(塔内機器_計算用シート!Y22=0,"",IF(塔内機器_入力①!$W$58&lt;&gt;"",塔内機器_入力①!$T60,""))</f>
        <v/>
      </c>
      <c r="F56" s="139"/>
      <c r="G56" s="180" t="s">
        <v>266</v>
      </c>
      <c r="H56" s="139"/>
      <c r="I56" s="180" t="s">
        <v>283</v>
      </c>
      <c r="J56" s="213" t="str">
        <f>IF(塔内機器_計算用シート!Y22=0,"",IF(22&gt;MAX(塔内機器_計算用シート!$E$45:$E$68)-1,"",IFERROR(VLOOKUP(22,塔内機器_計算用シート!$E$45:$K$68,7,FALSE),"")))</f>
        <v/>
      </c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  <c r="Z56" s="139"/>
      <c r="AA56" s="139"/>
    </row>
    <row r="57" spans="2:27" ht="15" customHeight="1">
      <c r="B57" s="139"/>
      <c r="C57" s="139"/>
      <c r="D57" s="139"/>
      <c r="E57" s="139"/>
      <c r="F57" s="139"/>
      <c r="G57" s="139"/>
      <c r="H57" s="139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</row>
    <row r="58" spans="2:27" ht="15" customHeight="1">
      <c r="B58" s="200" t="str">
        <f>IF(塔内機器_計算用シート!Y22=0,"",IF(塔内機器_入力①!$W$62&lt;&gt;"",塔内機器_入力①!$T60,""))</f>
        <v/>
      </c>
      <c r="C58" s="139"/>
      <c r="D58" s="200" t="s">
        <v>282</v>
      </c>
      <c r="E58" s="200" t="str">
        <f>IF(塔内機器_計算用シート!Y22=0,"",IF(塔内機器_入力①!$W$62&lt;&gt;"",塔内機器_入力①!$T64,""))</f>
        <v/>
      </c>
      <c r="F58" s="139"/>
      <c r="G58" s="180" t="s">
        <v>266</v>
      </c>
      <c r="H58" s="139"/>
      <c r="I58" s="180" t="s">
        <v>283</v>
      </c>
      <c r="J58" s="213" t="str">
        <f>IF(塔内機器_計算用シート!Y22=0,"",IF(23&gt;MAX(塔内機器_計算用シート!$E$45:$E$68)-1,"",IFERROR(VLOOKUP(23,塔内機器_計算用シート!$E$45:$K$68,7,FALSE),"")))</f>
        <v/>
      </c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</row>
    <row r="59" spans="2:27" ht="15" customHeight="1">
      <c r="B59" s="139"/>
      <c r="C59" s="139"/>
      <c r="D59" s="139"/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  <c r="Z59" s="139"/>
      <c r="AA59" s="139"/>
    </row>
    <row r="60" spans="2:27" ht="15" customHeight="1"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  <c r="Z60" s="139"/>
      <c r="AA60" s="139"/>
    </row>
    <row r="61" spans="2:27" ht="15" customHeight="1">
      <c r="B61" s="139"/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</row>
    <row r="62" spans="2:27" ht="15" customHeight="1"/>
    <row r="63" spans="2:27" ht="15" customHeight="1"/>
    <row r="64" spans="2:27" ht="15" customHeight="1"/>
    <row r="65" spans="2:27" ht="15" customHeight="1"/>
    <row r="66" spans="2:27" ht="15" customHeight="1"/>
    <row r="67" spans="2:27" ht="15" customHeight="1"/>
    <row r="68" spans="2:27" ht="15" customHeight="1"/>
    <row r="69" spans="2:27" ht="15" customHeight="1"/>
    <row r="70" spans="2:27" ht="15" customHeight="1">
      <c r="K70" s="170" t="s">
        <v>1041</v>
      </c>
      <c r="L70" s="139"/>
      <c r="M70" s="139"/>
      <c r="N70" s="139"/>
      <c r="O70" s="139"/>
      <c r="P70" s="139"/>
      <c r="Q70" s="139"/>
      <c r="R70" s="139"/>
    </row>
    <row r="71" spans="2:27">
      <c r="K71" s="139"/>
      <c r="L71" s="139"/>
      <c r="M71" s="139"/>
      <c r="N71" s="139"/>
      <c r="O71" s="139"/>
      <c r="P71" s="139"/>
      <c r="Q71" s="139"/>
      <c r="R71" s="139"/>
    </row>
    <row r="72" spans="2:27">
      <c r="K72" s="139"/>
      <c r="L72" s="139"/>
      <c r="M72" s="139"/>
      <c r="N72" s="139"/>
      <c r="O72" s="139"/>
      <c r="P72" s="139"/>
      <c r="Q72" s="139"/>
      <c r="R72" s="139"/>
    </row>
    <row r="75" spans="2:27">
      <c r="B75" s="191" t="str">
        <f>CONCATENATE(塔内機器_計算用シート!AH42,"　",塔内機器_計算用シート!Y23)</f>
        <v>v4　参照範囲内（設計妥当性は要照合）</v>
      </c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</row>
    <row r="76" spans="2:27"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N76" s="192"/>
      <c r="O76" s="192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</row>
  </sheetData>
  <sheetProtection sheet="1" objects="1" scenarios="1"/>
  <mergeCells count="150">
    <mergeCell ref="B75:AA76"/>
    <mergeCell ref="J60:AA61"/>
    <mergeCell ref="K70:R72"/>
    <mergeCell ref="B60:C61"/>
    <mergeCell ref="D60:D61"/>
    <mergeCell ref="E60:F61"/>
    <mergeCell ref="G60:H61"/>
    <mergeCell ref="I60:I61"/>
    <mergeCell ref="J56:AA57"/>
    <mergeCell ref="B58:C59"/>
    <mergeCell ref="D58:D59"/>
    <mergeCell ref="E58:F59"/>
    <mergeCell ref="G58:H59"/>
    <mergeCell ref="I58:I59"/>
    <mergeCell ref="J58:AA59"/>
    <mergeCell ref="B56:C57"/>
    <mergeCell ref="D56:D57"/>
    <mergeCell ref="E56:F57"/>
    <mergeCell ref="G56:H57"/>
    <mergeCell ref="I56:I57"/>
    <mergeCell ref="J52:AA53"/>
    <mergeCell ref="B54:C55"/>
    <mergeCell ref="D54:D55"/>
    <mergeCell ref="E54:F55"/>
    <mergeCell ref="G54:H55"/>
    <mergeCell ref="I54:I55"/>
    <mergeCell ref="J54:AA55"/>
    <mergeCell ref="B52:C53"/>
    <mergeCell ref="D52:D53"/>
    <mergeCell ref="E52:F53"/>
    <mergeCell ref="G52:H53"/>
    <mergeCell ref="I52:I53"/>
    <mergeCell ref="J48:AA49"/>
    <mergeCell ref="B50:C51"/>
    <mergeCell ref="D50:D51"/>
    <mergeCell ref="E50:F51"/>
    <mergeCell ref="G50:H51"/>
    <mergeCell ref="I50:I51"/>
    <mergeCell ref="J50:AA51"/>
    <mergeCell ref="B48:C49"/>
    <mergeCell ref="D48:D49"/>
    <mergeCell ref="E48:F49"/>
    <mergeCell ref="G48:H49"/>
    <mergeCell ref="I48:I49"/>
    <mergeCell ref="J44:AA45"/>
    <mergeCell ref="B46:C47"/>
    <mergeCell ref="D46:D47"/>
    <mergeCell ref="E46:F47"/>
    <mergeCell ref="G46:H47"/>
    <mergeCell ref="I46:I47"/>
    <mergeCell ref="J46:AA47"/>
    <mergeCell ref="B44:C45"/>
    <mergeCell ref="D44:D45"/>
    <mergeCell ref="E44:F45"/>
    <mergeCell ref="G44:H45"/>
    <mergeCell ref="I44:I45"/>
    <mergeCell ref="J40:AA41"/>
    <mergeCell ref="B42:C43"/>
    <mergeCell ref="D42:D43"/>
    <mergeCell ref="E42:F43"/>
    <mergeCell ref="G42:H43"/>
    <mergeCell ref="I42:I43"/>
    <mergeCell ref="J42:AA43"/>
    <mergeCell ref="B40:C41"/>
    <mergeCell ref="D40:D41"/>
    <mergeCell ref="E40:F41"/>
    <mergeCell ref="G40:H41"/>
    <mergeCell ref="I40:I41"/>
    <mergeCell ref="J36:AA37"/>
    <mergeCell ref="B38:C39"/>
    <mergeCell ref="D38:D39"/>
    <mergeCell ref="E38:F39"/>
    <mergeCell ref="G38:H39"/>
    <mergeCell ref="I38:I39"/>
    <mergeCell ref="J38:AA39"/>
    <mergeCell ref="B36:C37"/>
    <mergeCell ref="D36:D37"/>
    <mergeCell ref="E36:F37"/>
    <mergeCell ref="G36:H37"/>
    <mergeCell ref="I36:I37"/>
    <mergeCell ref="J32:AA33"/>
    <mergeCell ref="B34:C35"/>
    <mergeCell ref="D34:D35"/>
    <mergeCell ref="E34:F35"/>
    <mergeCell ref="G34:H35"/>
    <mergeCell ref="I34:I35"/>
    <mergeCell ref="J34:AA35"/>
    <mergeCell ref="B32:C33"/>
    <mergeCell ref="D32:D33"/>
    <mergeCell ref="E32:F33"/>
    <mergeCell ref="G32:H33"/>
    <mergeCell ref="I32:I33"/>
    <mergeCell ref="J28:AA29"/>
    <mergeCell ref="B30:C31"/>
    <mergeCell ref="D30:D31"/>
    <mergeCell ref="E30:F31"/>
    <mergeCell ref="G30:H31"/>
    <mergeCell ref="I30:I31"/>
    <mergeCell ref="J30:AA31"/>
    <mergeCell ref="B28:C29"/>
    <mergeCell ref="D28:D29"/>
    <mergeCell ref="E28:F29"/>
    <mergeCell ref="G28:H29"/>
    <mergeCell ref="I28:I29"/>
    <mergeCell ref="J24:AA25"/>
    <mergeCell ref="B26:C27"/>
    <mergeCell ref="D26:D27"/>
    <mergeCell ref="E26:F27"/>
    <mergeCell ref="G26:H27"/>
    <mergeCell ref="I26:I27"/>
    <mergeCell ref="J26:AA27"/>
    <mergeCell ref="B24:C25"/>
    <mergeCell ref="D24:D25"/>
    <mergeCell ref="E24:F25"/>
    <mergeCell ref="G24:H25"/>
    <mergeCell ref="I24:I25"/>
    <mergeCell ref="J20:AA21"/>
    <mergeCell ref="B22:C23"/>
    <mergeCell ref="D22:D23"/>
    <mergeCell ref="E22:F23"/>
    <mergeCell ref="G22:H23"/>
    <mergeCell ref="I22:I23"/>
    <mergeCell ref="J22:AA23"/>
    <mergeCell ref="B20:C21"/>
    <mergeCell ref="D20:D21"/>
    <mergeCell ref="E20:F21"/>
    <mergeCell ref="G20:H21"/>
    <mergeCell ref="I20:I21"/>
    <mergeCell ref="J16:AA17"/>
    <mergeCell ref="B18:C19"/>
    <mergeCell ref="D18:D19"/>
    <mergeCell ref="E18:F19"/>
    <mergeCell ref="G18:H19"/>
    <mergeCell ref="I18:I19"/>
    <mergeCell ref="J18:AA19"/>
    <mergeCell ref="B16:C17"/>
    <mergeCell ref="D16:D17"/>
    <mergeCell ref="E16:F17"/>
    <mergeCell ref="G16:H17"/>
    <mergeCell ref="I16:I17"/>
    <mergeCell ref="B2:N4"/>
    <mergeCell ref="O2:AA4"/>
    <mergeCell ref="B6:AA8"/>
    <mergeCell ref="J11:AA13"/>
    <mergeCell ref="B14:C15"/>
    <mergeCell ref="D14:D15"/>
    <mergeCell ref="E14:F15"/>
    <mergeCell ref="G14:H15"/>
    <mergeCell ref="I14:I15"/>
    <mergeCell ref="J14:AA15"/>
  </mergeCells>
  <phoneticPr fontId="155"/>
  <hyperlinks>
    <hyperlink ref="K70" location="'目次'!A1" display="目次へ戻る" xr:uid="{9405055F-BAFA-4BF2-AFA4-C9009A9984FA}"/>
  </hyperlinks>
  <printOptions horizontalCentered="1"/>
  <pageMargins left="0.27777777777777779" right="0.27777777777777779" top="0.34722222222222221" bottom="0.34722222222222221" header="0.3" footer="0.3"/>
  <pageSetup paperSize="9" scale="11" orientation="portrait" r:id="rId1"/>
  <headerFooter>
    <oddFooter>&amp;R&amp;P / &amp;N&amp;Cv4 / 2026-09-24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J68"/>
  <sheetViews>
    <sheetView zoomScale="130" zoomScaleNormal="130" workbookViewId="0"/>
  </sheetViews>
  <sheetFormatPr defaultColWidth="8.375" defaultRowHeight="14.25"/>
  <cols>
    <col min="1" max="1" width="8.375" customWidth="1"/>
    <col min="2" max="3" width="4.625" customWidth="1"/>
    <col min="4" max="4" width="6.5" customWidth="1"/>
    <col min="5" max="22" width="4.625" customWidth="1"/>
    <col min="24" max="24" width="31.625" customWidth="1"/>
    <col min="25" max="25" width="48.625" customWidth="1"/>
    <col min="26" max="36" width="14.625" customWidth="1"/>
  </cols>
  <sheetData>
    <row r="1" spans="2:36" ht="13.5" customHeight="1"/>
    <row r="2" spans="2:36" ht="13.5" customHeight="1">
      <c r="B2" s="51" t="s">
        <v>284</v>
      </c>
      <c r="H2" s="214" t="s">
        <v>285</v>
      </c>
      <c r="I2" s="139"/>
      <c r="J2" s="139"/>
      <c r="K2" s="139"/>
      <c r="L2" s="139"/>
      <c r="M2" s="139"/>
      <c r="N2" s="139"/>
      <c r="R2" s="214" t="s">
        <v>286</v>
      </c>
      <c r="S2" s="139"/>
      <c r="T2" s="139"/>
      <c r="U2" s="139"/>
      <c r="V2" s="139"/>
    </row>
    <row r="3" spans="2:36" ht="13.5" customHeight="1">
      <c r="I3" s="215" t="s">
        <v>1063</v>
      </c>
      <c r="J3" s="139"/>
      <c r="K3" s="139"/>
      <c r="L3" s="215" t="s">
        <v>1064</v>
      </c>
      <c r="M3" s="139"/>
      <c r="N3" s="139"/>
      <c r="R3" s="216" t="s">
        <v>288</v>
      </c>
      <c r="S3" s="139"/>
      <c r="T3" s="139"/>
      <c r="U3" s="139"/>
    </row>
    <row r="4" spans="2:36" ht="24" customHeight="1">
      <c r="B4" s="52">
        <v>1</v>
      </c>
      <c r="C4" s="51" t="s">
        <v>289</v>
      </c>
      <c r="D4" s="53">
        <f>IF($AH$40=0,"",IF(B4&gt;$AH$37,"",(塔内機器_入力①!B20/($AH$37+1))*B4))</f>
        <v>12235</v>
      </c>
      <c r="E4" s="51" t="s">
        <v>290</v>
      </c>
      <c r="H4" s="54" t="s">
        <v>291</v>
      </c>
      <c r="I4" s="218" t="s">
        <v>292</v>
      </c>
      <c r="J4" s="139"/>
      <c r="K4" s="139"/>
      <c r="L4" s="139"/>
      <c r="M4" s="139"/>
      <c r="N4" s="139"/>
      <c r="O4" s="219" t="s">
        <v>266</v>
      </c>
      <c r="P4" s="139"/>
      <c r="Q4" s="139"/>
      <c r="R4" s="55" t="str">
        <f>CONCATENATE(塔内機器_入力①!B14,塔内機器_入力①!P14,塔内機器_入力①!P26)</f>
        <v>UA-25TP900有</v>
      </c>
      <c r="X4" s="119" t="s">
        <v>1065</v>
      </c>
      <c r="Y4" s="114">
        <f>IF(帳票基本入力!C5="",0,COUNTIF(塔内機器_入力①_DB!$C$2:$C$937,帳票基本入力!C5))</f>
        <v>1</v>
      </c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</row>
    <row r="5" spans="2:36" ht="24" customHeight="1">
      <c r="B5" s="52">
        <v>2</v>
      </c>
      <c r="C5" s="51" t="s">
        <v>289</v>
      </c>
      <c r="D5" s="53" t="str">
        <f>IF($AH$40=0,"",IF(B5&gt;$AH$37,"",(塔内機器_入力①!B20/($AH$37+1))*B5))</f>
        <v/>
      </c>
      <c r="E5" s="51" t="s">
        <v>290</v>
      </c>
      <c r="H5" s="56">
        <v>1</v>
      </c>
      <c r="I5" s="220">
        <v>0</v>
      </c>
      <c r="J5" s="139"/>
      <c r="K5" s="139"/>
      <c r="L5" s="217">
        <f>IF(Y7=1,塔内機器_入力①!B26,0)</f>
        <v>1300</v>
      </c>
      <c r="M5" s="139"/>
      <c r="N5" s="139"/>
      <c r="O5" s="56" t="s">
        <v>293</v>
      </c>
      <c r="P5" s="56" t="s">
        <v>282</v>
      </c>
      <c r="Q5" s="56" t="str">
        <f>塔内機器_入力①!B36</f>
        <v>1</v>
      </c>
      <c r="X5" s="119" t="s">
        <v>1066</v>
      </c>
      <c r="Y5" s="114">
        <f>SUM(AD45:AD68)</f>
        <v>7</v>
      </c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</row>
    <row r="6" spans="2:36" ht="24" customHeight="1">
      <c r="B6" s="52">
        <v>3</v>
      </c>
      <c r="C6" s="51" t="s">
        <v>289</v>
      </c>
      <c r="D6" s="53" t="str">
        <f>IF($AH$40=0,"",IF(B6&gt;$AH$37,"",(塔内機器_入力①!B20/($AH$37+1))*B6))</f>
        <v/>
      </c>
      <c r="E6" s="51" t="s">
        <v>290</v>
      </c>
      <c r="H6" s="56">
        <v>2</v>
      </c>
      <c r="I6" s="217">
        <f>IF(Q6="",1000000+H6,SUM($C$45:C45))</f>
        <v>3745</v>
      </c>
      <c r="J6" s="139"/>
      <c r="K6" s="139"/>
      <c r="L6" s="217">
        <f t="shared" ref="L6:L28" si="0">IF(Q6="",1000000+H6,I6+$L$5)</f>
        <v>5045</v>
      </c>
      <c r="M6" s="139"/>
      <c r="N6" s="139"/>
      <c r="O6" s="56" t="str">
        <f t="shared" ref="O6:O28" si="1">Q5</f>
        <v>1</v>
      </c>
      <c r="P6" s="56" t="s">
        <v>282</v>
      </c>
      <c r="Q6" s="56" t="str">
        <f>塔内機器_入力①!B40</f>
        <v>2</v>
      </c>
      <c r="R6" s="55" t="s">
        <v>294</v>
      </c>
      <c r="X6" s="119" t="s">
        <v>1067</v>
      </c>
      <c r="Y6" s="114">
        <f>IFERROR(VLOOKUP(R4,塔内機器_出力②_DB!$M$4:$N$23,2,FALSE),0)</f>
        <v>104</v>
      </c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</row>
    <row r="7" spans="2:36" ht="24" customHeight="1">
      <c r="B7" s="52">
        <v>4</v>
      </c>
      <c r="C7" s="51" t="s">
        <v>289</v>
      </c>
      <c r="D7" s="53" t="str">
        <f>IF($AH$40=0,"",IF(B7&gt;$AH$37,"",(塔内機器_入力①!B20/($AH$37+1))*B7))</f>
        <v/>
      </c>
      <c r="E7" s="51" t="s">
        <v>290</v>
      </c>
      <c r="H7" s="56">
        <v>3</v>
      </c>
      <c r="I7" s="217">
        <f>IF(Q7="",1000000+H7,SUM($C$45:C46))</f>
        <v>7045</v>
      </c>
      <c r="J7" s="139"/>
      <c r="K7" s="139"/>
      <c r="L7" s="217">
        <f t="shared" si="0"/>
        <v>8345</v>
      </c>
      <c r="M7" s="139"/>
      <c r="N7" s="139"/>
      <c r="O7" s="56" t="str">
        <f t="shared" si="1"/>
        <v>2</v>
      </c>
      <c r="P7" s="56" t="s">
        <v>282</v>
      </c>
      <c r="Q7" s="56" t="str">
        <f>塔内機器_入力①!B44</f>
        <v>3</v>
      </c>
      <c r="R7" s="55" t="str">
        <f>帳票基本入力!C8</f>
        <v>後落ち</v>
      </c>
      <c r="X7" s="119" t="s">
        <v>1068</v>
      </c>
      <c r="Y7" s="114">
        <f>IF(AND(IFERROR(IF(AND(COUNT(塔内機器_入力①!B20)=1,塔内機器_入力①!B20&gt;0,塔内機器_入力①!B20&lt;=$Y$20,塔内機器_入力①!B20=ROUNDDOWN(塔内機器_入力①!B20,0)),1,0),0)=1,IFERROR(IF(AND(COUNT(塔内機器_入力①!P20)=1,塔内機器_入力①!P20&gt;0,塔内機器_入力①!P20&lt;=$Y$20,塔内機器_入力①!P20=ROUNDDOWN(塔内機器_入力①!P20,0)),1,0),0)=1,IFERROR(IF(AND(COUNT(塔内機器_入力①!B26)=1,塔内機器_入力①!B26&gt;=0,塔内機器_入力①!B26&lt;=$Y$20,塔内機器_入力①!B26=ROUNDDOWN(塔内機器_入力①!B26,0)),1,0),0)=1),1,0)</f>
        <v>1</v>
      </c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</row>
    <row r="8" spans="2:36" ht="24" customHeight="1">
      <c r="B8" s="52">
        <v>5</v>
      </c>
      <c r="C8" s="51" t="s">
        <v>289</v>
      </c>
      <c r="D8" s="53" t="str">
        <f>IF($AH$40=0,"",IF(B8&gt;$AH$37,"",(塔内機器_入力①!B20/($AH$37+1))*B8))</f>
        <v/>
      </c>
      <c r="E8" s="51" t="s">
        <v>290</v>
      </c>
      <c r="H8" s="56">
        <v>4</v>
      </c>
      <c r="I8" s="217">
        <f>IF(Q8="",1000000+H8,SUM($C$45:C47))</f>
        <v>10345</v>
      </c>
      <c r="J8" s="139"/>
      <c r="K8" s="139"/>
      <c r="L8" s="217">
        <f t="shared" si="0"/>
        <v>11645</v>
      </c>
      <c r="M8" s="139"/>
      <c r="N8" s="139"/>
      <c r="O8" s="56" t="str">
        <f t="shared" si="1"/>
        <v>3</v>
      </c>
      <c r="P8" s="56" t="s">
        <v>282</v>
      </c>
      <c r="Q8" s="56" t="str">
        <f>塔内機器_入力①!B48</f>
        <v>4</v>
      </c>
      <c r="R8" s="55">
        <f>IF(AND(R7="後落ち",U32="〇"),1,IF(AND(R7="後落ち",U33="〇"),2,IF(AND(R7="後落ち",OR(U34="〇",U35="〇",U36="〇")),3,"")))</f>
        <v>3</v>
      </c>
      <c r="X8" s="119" t="s">
        <v>1069</v>
      </c>
      <c r="Y8" s="114">
        <f>SUM(AA45:AA68)</f>
        <v>0</v>
      </c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</row>
    <row r="9" spans="2:36" ht="24" customHeight="1">
      <c r="B9" s="52">
        <v>6</v>
      </c>
      <c r="C9" s="51" t="s">
        <v>289</v>
      </c>
      <c r="D9" s="53" t="str">
        <f>IF($AH$40=0,"",IF(B9&gt;$AH$37,"",(塔内機器_入力①!B20/($AH$37+1))*B9))</f>
        <v/>
      </c>
      <c r="E9" s="51" t="s">
        <v>290</v>
      </c>
      <c r="H9" s="56">
        <v>5</v>
      </c>
      <c r="I9" s="217">
        <f>IF(Q9="",1000000+H9,SUM($C$45:C48))</f>
        <v>13645</v>
      </c>
      <c r="J9" s="139"/>
      <c r="K9" s="139"/>
      <c r="L9" s="217">
        <f t="shared" si="0"/>
        <v>14945</v>
      </c>
      <c r="M9" s="139"/>
      <c r="N9" s="139"/>
      <c r="O9" s="56" t="str">
        <f t="shared" si="1"/>
        <v>4</v>
      </c>
      <c r="P9" s="56" t="s">
        <v>282</v>
      </c>
      <c r="Q9" s="56" t="str">
        <f>塔内機器_入力①!B52</f>
        <v>5</v>
      </c>
      <c r="R9" s="57" t="str">
        <f>IF(R8="","",IF(R8=1,"P-6",IF(R8=2,"P-9","P-11～P-15")))</f>
        <v>P-11～P-15</v>
      </c>
      <c r="X9" s="119" t="s">
        <v>1070</v>
      </c>
      <c r="Y9" s="114">
        <f>SUM(AB45:AB68)</f>
        <v>0</v>
      </c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</row>
    <row r="10" spans="2:36" ht="24" customHeight="1">
      <c r="H10" s="56">
        <v>6</v>
      </c>
      <c r="I10" s="217">
        <f>IF(Q10="",1000000+H10,SUM($C$45:C49))</f>
        <v>16895</v>
      </c>
      <c r="J10" s="139"/>
      <c r="K10" s="139"/>
      <c r="L10" s="217">
        <f t="shared" si="0"/>
        <v>18195</v>
      </c>
      <c r="M10" s="139"/>
      <c r="N10" s="139"/>
      <c r="O10" s="56" t="str">
        <f t="shared" si="1"/>
        <v>5</v>
      </c>
      <c r="P10" s="56" t="s">
        <v>282</v>
      </c>
      <c r="Q10" s="56" t="str">
        <f>塔内機器_入力①!B56</f>
        <v>6</v>
      </c>
      <c r="X10" s="119" t="s">
        <v>1071</v>
      </c>
      <c r="Y10" s="114">
        <f>IFERROR(IF(塔内機器_入力①!P20=Y12,1,0),0)</f>
        <v>1</v>
      </c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</row>
    <row r="11" spans="2:36" ht="24" customHeight="1">
      <c r="H11" s="56">
        <v>7</v>
      </c>
      <c r="I11" s="217">
        <f>IF(Q11="",1000000+H11,SUM($C$45:C50))</f>
        <v>20145</v>
      </c>
      <c r="J11" s="139"/>
      <c r="K11" s="139"/>
      <c r="L11" s="217">
        <f t="shared" si="0"/>
        <v>21445</v>
      </c>
      <c r="M11" s="139"/>
      <c r="N11" s="139"/>
      <c r="O11" s="56" t="str">
        <f t="shared" si="1"/>
        <v>6</v>
      </c>
      <c r="P11" s="56" t="s">
        <v>282</v>
      </c>
      <c r="Q11" s="56" t="str">
        <f>塔内機器_入力①!B60</f>
        <v>7</v>
      </c>
      <c r="X11" s="119" t="s">
        <v>1072</v>
      </c>
      <c r="Y11" s="114">
        <f>IFERROR(IF(塔内機器_入力①!B20&gt;塔内機器_入力①!P20+塔内機器_入力①!B26,1,0),0)</f>
        <v>1</v>
      </c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</row>
    <row r="12" spans="2:36" ht="24" customHeight="1">
      <c r="H12" s="56">
        <v>8</v>
      </c>
      <c r="I12" s="217">
        <f>IF(Q12="",1000000+H12,SUM($C$45:C51))</f>
        <v>1000008</v>
      </c>
      <c r="J12" s="139"/>
      <c r="K12" s="139"/>
      <c r="L12" s="217">
        <f t="shared" si="0"/>
        <v>1000008</v>
      </c>
      <c r="M12" s="139"/>
      <c r="N12" s="139"/>
      <c r="O12" s="56" t="str">
        <f t="shared" si="1"/>
        <v>7</v>
      </c>
      <c r="P12" s="56" t="s">
        <v>282</v>
      </c>
      <c r="Q12" s="56" t="str">
        <f>塔内機器_入力①!B64</f>
        <v/>
      </c>
      <c r="X12" s="119" t="s">
        <v>1073</v>
      </c>
      <c r="Y12" s="114">
        <f>SUM(C45:C68)</f>
        <v>20145</v>
      </c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</row>
    <row r="13" spans="2:36" ht="24" customHeight="1">
      <c r="H13" s="56">
        <v>9</v>
      </c>
      <c r="I13" s="217">
        <f>IF(Q13="",1000000+H13,SUM($C$45:C52))</f>
        <v>1000009</v>
      </c>
      <c r="J13" s="139"/>
      <c r="K13" s="139"/>
      <c r="L13" s="217">
        <f t="shared" si="0"/>
        <v>1000009</v>
      </c>
      <c r="M13" s="139"/>
      <c r="N13" s="139"/>
      <c r="O13" s="56" t="str">
        <f t="shared" si="1"/>
        <v/>
      </c>
      <c r="P13" s="56" t="s">
        <v>282</v>
      </c>
      <c r="Q13" s="56" t="str">
        <f>塔内機器_入力①!K36</f>
        <v/>
      </c>
      <c r="X13" s="119" t="s">
        <v>1074</v>
      </c>
      <c r="Y13" s="114">
        <f>IFERROR(IF(AND(COUNT(帳票基本入力!C9)=1,帳票基本入力!C9&gt;0,帳票基本入力!C9&lt;=塔内機器_入力①!B20,帳票基本入力!C9=ROUNDDOWN(帳票基本入力!C9,0)),1,0),0)</f>
        <v>1</v>
      </c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</row>
    <row r="14" spans="2:36" ht="24" customHeight="1">
      <c r="H14" s="56">
        <v>10</v>
      </c>
      <c r="I14" s="217">
        <f>IF(Q14="",1000000+H14,SUM($C$45:C53))</f>
        <v>1000010</v>
      </c>
      <c r="J14" s="139"/>
      <c r="K14" s="139"/>
      <c r="L14" s="217">
        <f t="shared" si="0"/>
        <v>1000010</v>
      </c>
      <c r="M14" s="139"/>
      <c r="N14" s="139"/>
      <c r="O14" s="56" t="str">
        <f t="shared" si="1"/>
        <v/>
      </c>
      <c r="P14" s="56" t="s">
        <v>282</v>
      </c>
      <c r="Q14" s="56" t="str">
        <f>塔内機器_入力①!K40</f>
        <v/>
      </c>
      <c r="X14" s="119" t="s">
        <v>1075</v>
      </c>
      <c r="Y14" s="114">
        <f>IF(AND(OR(帳票基本入力!C7="Cwtｾﾌﾃｨ付",帳票基本入力!C7="Cwtｾﾌﾃｨなし"),OR(R7="後落ち",R7="横落ち"),OR(塔内機器_入力①!P26="有",塔内機器_入力①!P26="無"),COUNT(塔内機器_入力①!P14)=1,OR(塔内機器_入力①!B14="UA-25TP",塔内機器_入力①!B14="UAE-25T",塔内機器_入力①!B14="UA-25TR",塔内機器_入力①!B14="UA-25TB"),COUNTIF(U32:U36,"〇")=1,Y6&gt;0),1,0)</f>
        <v>1</v>
      </c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</row>
    <row r="15" spans="2:36" ht="24" customHeight="1">
      <c r="H15" s="56">
        <v>11</v>
      </c>
      <c r="I15" s="217">
        <f>IF(Q15="",1000000+H15,SUM($C$45:C54))</f>
        <v>1000011</v>
      </c>
      <c r="J15" s="139"/>
      <c r="K15" s="139"/>
      <c r="L15" s="217">
        <f t="shared" si="0"/>
        <v>1000011</v>
      </c>
      <c r="M15" s="139"/>
      <c r="N15" s="139"/>
      <c r="O15" s="56" t="str">
        <f t="shared" si="1"/>
        <v/>
      </c>
      <c r="P15" s="56" t="s">
        <v>282</v>
      </c>
      <c r="Q15" s="56" t="str">
        <f>塔内機器_入力①!K44</f>
        <v/>
      </c>
      <c r="X15" s="119" t="s">
        <v>1076</v>
      </c>
      <c r="Y15" s="114">
        <f>IF(AND(Y4=1,Y5&gt;=2,Y7=1,Y8=0,Y9=0,Y10=1,Y11=1,Y13=1,Y14=1,Y21=0,Y27=1),1,0)</f>
        <v>1</v>
      </c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</row>
    <row r="16" spans="2:36" ht="24" customHeight="1">
      <c r="H16" s="56">
        <v>12</v>
      </c>
      <c r="I16" s="217">
        <f>IF(Q16="",1000000+H16,SUM($C$45:C55))</f>
        <v>1000012</v>
      </c>
      <c r="J16" s="139"/>
      <c r="K16" s="139"/>
      <c r="L16" s="217">
        <f t="shared" si="0"/>
        <v>1000012</v>
      </c>
      <c r="M16" s="139"/>
      <c r="N16" s="139"/>
      <c r="O16" s="56" t="str">
        <f t="shared" si="1"/>
        <v/>
      </c>
      <c r="P16" s="56" t="s">
        <v>282</v>
      </c>
      <c r="Q16" s="56" t="str">
        <f>塔内機器_入力①!K48</f>
        <v/>
      </c>
      <c r="X16" s="119" t="s">
        <v>1077</v>
      </c>
      <c r="Y16" s="114" t="str">
        <f>IF(Y4&lt;&gt;1,"要確認：階床名が空欄・未登録・重複",IF(Y5&lt;2,"要確認：階床は2階以上必要",IF(Y21&gt;0,"要確認：階床DBの空き・重複を修正",IF(Y7=0,"要確認：全高・行程・ピットは範囲内の整数",IF(Y8&gt;0,"要確認：使用する階高は正の整数",IF(Y9&gt;0,"要確認：未使用の階高欄を空欄にする",IF(Y10=0,"要確認：行程と有効な階高合計が不一致",IF(Y11=0,"要確認：全高は行程とピットの合計より大きく",IF(Y13=0,"要確認：制御盤距離は正の整数・全高以下",IF(Y14=0,"要確認：機種・OP・遮煙・基本仕様を確認",IF(Y27=0,"要確認：最上部取付位置が配置可能範囲外","入力条件成立")))))))))))</f>
        <v>入力条件成立</v>
      </c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</row>
    <row r="17" spans="2:36" ht="24" customHeight="1">
      <c r="H17" s="56">
        <v>13</v>
      </c>
      <c r="I17" s="217">
        <f>IF(Q17="",1000000+H17,SUM($C$45:C56))</f>
        <v>1000013</v>
      </c>
      <c r="J17" s="139"/>
      <c r="K17" s="139"/>
      <c r="L17" s="217">
        <f t="shared" si="0"/>
        <v>1000013</v>
      </c>
      <c r="M17" s="139"/>
      <c r="N17" s="139"/>
      <c r="O17" s="56" t="str">
        <f t="shared" si="1"/>
        <v/>
      </c>
      <c r="P17" s="56" t="s">
        <v>282</v>
      </c>
      <c r="Q17" s="56" t="str">
        <f>塔内機器_入力①!K52</f>
        <v/>
      </c>
      <c r="X17" s="119" t="s">
        <v>1078</v>
      </c>
      <c r="Y17" s="114">
        <f>SUM(AJ45:AJ68)</f>
        <v>0</v>
      </c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</row>
    <row r="18" spans="2:36" ht="24" customHeight="1">
      <c r="H18" s="56">
        <v>14</v>
      </c>
      <c r="I18" s="217">
        <f>IF(Q18="",1000000+H18,SUM($C$45:C57))</f>
        <v>1000014</v>
      </c>
      <c r="J18" s="139"/>
      <c r="K18" s="139"/>
      <c r="L18" s="217">
        <f t="shared" si="0"/>
        <v>1000014</v>
      </c>
      <c r="M18" s="139"/>
      <c r="N18" s="139"/>
      <c r="O18" s="56" t="str">
        <f t="shared" si="1"/>
        <v/>
      </c>
      <c r="P18" s="56" t="s">
        <v>282</v>
      </c>
      <c r="Q18" s="56" t="str">
        <f>塔内機器_入力①!K56</f>
        <v/>
      </c>
      <c r="X18" s="119" t="s">
        <v>1079</v>
      </c>
      <c r="Y18" s="114" t="str">
        <f>IF(Y15=0,"入力修正後に判定",IF(Y17&gt;0,"部品出力停止：未確認・範囲外のDBあり","参照範囲内（設計妥当性は要照合）"))</f>
        <v>参照範囲内（設計妥当性は要照合）</v>
      </c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</row>
    <row r="19" spans="2:36" ht="24" customHeight="1">
      <c r="H19" s="56">
        <v>15</v>
      </c>
      <c r="I19" s="217">
        <f>IF(Q19="",1000000+H19,SUM($C$45:C58))</f>
        <v>1000015</v>
      </c>
      <c r="J19" s="139"/>
      <c r="K19" s="139"/>
      <c r="L19" s="217">
        <f t="shared" si="0"/>
        <v>1000015</v>
      </c>
      <c r="M19" s="139"/>
      <c r="N19" s="139"/>
      <c r="O19" s="56" t="str">
        <f t="shared" si="1"/>
        <v/>
      </c>
      <c r="P19" s="56" t="s">
        <v>282</v>
      </c>
      <c r="Q19" s="56" t="str">
        <f>塔内機器_入力①!K60</f>
        <v/>
      </c>
      <c r="X19" s="119" t="s">
        <v>1080</v>
      </c>
      <c r="Y19" s="114">
        <v>90000</v>
      </c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</row>
    <row r="20" spans="2:36" ht="24" customHeight="1">
      <c r="B20" s="51" t="s">
        <v>295</v>
      </c>
      <c r="H20" s="56">
        <v>16</v>
      </c>
      <c r="I20" s="217">
        <f>IF(Q20="",1000000+H20,SUM($C$45:C59))</f>
        <v>1000016</v>
      </c>
      <c r="J20" s="139"/>
      <c r="K20" s="139"/>
      <c r="L20" s="217">
        <f t="shared" si="0"/>
        <v>1000016</v>
      </c>
      <c r="M20" s="139"/>
      <c r="N20" s="139"/>
      <c r="O20" s="56" t="str">
        <f t="shared" si="1"/>
        <v/>
      </c>
      <c r="P20" s="56" t="s">
        <v>282</v>
      </c>
      <c r="Q20" s="56" t="str">
        <f>塔内機器_入力①!K64</f>
        <v/>
      </c>
      <c r="X20" s="119" t="s">
        <v>1081</v>
      </c>
      <c r="Y20" s="114">
        <f>MAX(O32:O39)</f>
        <v>90000</v>
      </c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</row>
    <row r="21" spans="2:36" ht="24" customHeight="1">
      <c r="D21" s="58">
        <f>IF(Y15=0,"",塔内機器_入力①!P20-帳票基本入力!C9-$Y$35)</f>
        <v>16770</v>
      </c>
      <c r="H21" s="56">
        <v>17</v>
      </c>
      <c r="I21" s="217">
        <f>IF(Q21="",1000000+H21,SUM($C$45:C60))</f>
        <v>1000017</v>
      </c>
      <c r="J21" s="139"/>
      <c r="K21" s="139"/>
      <c r="L21" s="217">
        <f t="shared" si="0"/>
        <v>1000017</v>
      </c>
      <c r="M21" s="139"/>
      <c r="N21" s="139"/>
      <c r="O21" s="56" t="str">
        <f t="shared" si="1"/>
        <v/>
      </c>
      <c r="P21" s="56" t="s">
        <v>282</v>
      </c>
      <c r="Q21" s="56" t="str">
        <f>塔内機器_入力①!T36</f>
        <v/>
      </c>
      <c r="X21" s="119" t="s">
        <v>1082</v>
      </c>
      <c r="Y21" s="114">
        <f>SUM(AC45:AC68)</f>
        <v>0</v>
      </c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</row>
    <row r="22" spans="2:36" ht="24" customHeight="1">
      <c r="D22" s="58">
        <f>IF(Y15=0,"",Y26)</f>
        <v>21370</v>
      </c>
      <c r="H22" s="56">
        <v>18</v>
      </c>
      <c r="I22" s="217">
        <f>IF(Q22="",1000000+H22,SUM($C$45:C61))</f>
        <v>1000018</v>
      </c>
      <c r="J22" s="139"/>
      <c r="K22" s="139"/>
      <c r="L22" s="217">
        <f t="shared" si="0"/>
        <v>1000018</v>
      </c>
      <c r="M22" s="139"/>
      <c r="N22" s="139"/>
      <c r="O22" s="56" t="str">
        <f t="shared" si="1"/>
        <v/>
      </c>
      <c r="P22" s="56" t="s">
        <v>282</v>
      </c>
      <c r="Q22" s="56" t="str">
        <f>塔内機器_入力①!T40</f>
        <v/>
      </c>
      <c r="X22" s="119" t="s">
        <v>1083</v>
      </c>
      <c r="Y22" s="114">
        <f>IF(AND(Y15=1,Y17=0),1,0)</f>
        <v>1</v>
      </c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</row>
    <row r="23" spans="2:36" ht="24" customHeight="1">
      <c r="H23" s="56">
        <v>19</v>
      </c>
      <c r="I23" s="217">
        <f>IF(Q23="",1000000+H23,SUM($C$45:C62))</f>
        <v>1000019</v>
      </c>
      <c r="J23" s="139"/>
      <c r="K23" s="139"/>
      <c r="L23" s="217">
        <f t="shared" si="0"/>
        <v>1000019</v>
      </c>
      <c r="M23" s="139"/>
      <c r="N23" s="139"/>
      <c r="O23" s="56" t="str">
        <f t="shared" si="1"/>
        <v/>
      </c>
      <c r="P23" s="56" t="s">
        <v>282</v>
      </c>
      <c r="Q23" s="56" t="str">
        <f>塔内機器_入力①!T44</f>
        <v/>
      </c>
      <c r="X23" s="119" t="s">
        <v>1084</v>
      </c>
      <c r="Y23" s="114" t="str">
        <f>IF(Y15=0,Y16,IF(AH41&lt;&gt;"",AH41,IF(AH36&lt;&gt;"",AH36,Y18)))</f>
        <v>参照範囲内（設計妥当性は要照合）</v>
      </c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</row>
    <row r="24" spans="2:36" ht="24" customHeight="1">
      <c r="H24" s="56">
        <v>20</v>
      </c>
      <c r="I24" s="217">
        <f>IF(Q24="",1000000+H24,SUM($C$45:C63))</f>
        <v>1000020</v>
      </c>
      <c r="J24" s="139"/>
      <c r="K24" s="139"/>
      <c r="L24" s="217">
        <f t="shared" si="0"/>
        <v>1000020</v>
      </c>
      <c r="M24" s="139"/>
      <c r="N24" s="139"/>
      <c r="O24" s="56" t="str">
        <f t="shared" si="1"/>
        <v/>
      </c>
      <c r="P24" s="56" t="s">
        <v>282</v>
      </c>
      <c r="Q24" s="56" t="str">
        <f>塔内機器_入力①!T48</f>
        <v/>
      </c>
      <c r="X24" s="119" t="s">
        <v>1085</v>
      </c>
      <c r="Y24" s="114">
        <f>IF(Y7=0,0,IF(塔内機器_入力①!B20&gt;Y19,0,VLOOKUP(塔内機器_入力①!B20,塔内機器_出力①_DB!B6:E11,4,TRUE)))</f>
        <v>1</v>
      </c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</row>
    <row r="25" spans="2:36" ht="24" customHeight="1">
      <c r="H25" s="56">
        <v>21</v>
      </c>
      <c r="I25" s="217">
        <f>IF(Q25="",1000000+H25,SUM($C$45:C64))</f>
        <v>1000021</v>
      </c>
      <c r="J25" s="139"/>
      <c r="K25" s="139"/>
      <c r="L25" s="217">
        <f t="shared" si="0"/>
        <v>1000021</v>
      </c>
      <c r="M25" s="139"/>
      <c r="N25" s="139"/>
      <c r="O25" s="56" t="str">
        <f t="shared" si="1"/>
        <v/>
      </c>
      <c r="P25" s="56" t="s">
        <v>282</v>
      </c>
      <c r="Q25" s="56" t="str">
        <f>塔内機器_入力①!T52</f>
        <v/>
      </c>
      <c r="X25" s="119" t="s">
        <v>1086</v>
      </c>
      <c r="Y25" s="114">
        <f>IF(Y7=0,0,VLOOKUP(塔内機器_入力①!B20,$L$32:$Q$39,6,TRUE))</f>
        <v>2</v>
      </c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</row>
    <row r="26" spans="2:36" ht="24" customHeight="1">
      <c r="H26" s="56">
        <v>22</v>
      </c>
      <c r="I26" s="217">
        <f>IF(Q26="",1000000+H26,SUM($C$45:C65))</f>
        <v>1000022</v>
      </c>
      <c r="J26" s="139"/>
      <c r="K26" s="139"/>
      <c r="L26" s="217">
        <f t="shared" si="0"/>
        <v>1000022</v>
      </c>
      <c r="M26" s="139"/>
      <c r="N26" s="139"/>
      <c r="O26" s="56" t="str">
        <f t="shared" si="1"/>
        <v/>
      </c>
      <c r="P26" s="56" t="s">
        <v>282</v>
      </c>
      <c r="Q26" s="56" t="str">
        <f>塔内機器_入力①!T56</f>
        <v/>
      </c>
      <c r="X26" s="119" t="s">
        <v>2283</v>
      </c>
      <c r="Y26" s="114">
        <f>IF(OR(Y7=0,Y13=0),0,IF(R8="",塔内機器_入力①!P20-帳票基本入力!C9-$Y$35,塔内機器_入力①!P20+VLOOKUP(R9,塔内機器_出力②_DB!$Q$4:$R$6,2,FALSE)))</f>
        <v>21370</v>
      </c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</row>
    <row r="27" spans="2:36" ht="24" customHeight="1">
      <c r="H27" s="56">
        <v>23</v>
      </c>
      <c r="I27" s="217">
        <f>IF(Q27="",1000000+H27,SUM($C$45:C66))</f>
        <v>1000023</v>
      </c>
      <c r="J27" s="139"/>
      <c r="K27" s="139"/>
      <c r="L27" s="217">
        <f t="shared" si="0"/>
        <v>1000023</v>
      </c>
      <c r="M27" s="139"/>
      <c r="N27" s="139"/>
      <c r="O27" s="56" t="str">
        <f t="shared" si="1"/>
        <v/>
      </c>
      <c r="P27" s="56" t="s">
        <v>282</v>
      </c>
      <c r="Q27" s="56" t="str">
        <f>塔内機器_入力①!T60</f>
        <v/>
      </c>
      <c r="X27" s="119" t="s">
        <v>1087</v>
      </c>
      <c r="Y27" s="114">
        <f>IFERROR(IF(AND(Y26&gt;=塔内機器_入力①!P20/2+$Y$34,Y26&lt;=塔内機器_入力①!B20-塔内機器_入力①!B26),1,0),0)</f>
        <v>1</v>
      </c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</row>
    <row r="28" spans="2:36" ht="24" customHeight="1">
      <c r="H28" s="56">
        <v>24</v>
      </c>
      <c r="I28" s="217">
        <f>IF(Q28="",1000000+H28,SUM($C$45:C67))</f>
        <v>1000024</v>
      </c>
      <c r="J28" s="139"/>
      <c r="K28" s="139"/>
      <c r="L28" s="217">
        <f t="shared" si="0"/>
        <v>1000024</v>
      </c>
      <c r="M28" s="139"/>
      <c r="N28" s="139"/>
      <c r="O28" s="56" t="str">
        <f t="shared" si="1"/>
        <v/>
      </c>
      <c r="P28" s="56" t="s">
        <v>282</v>
      </c>
      <c r="Q28" s="56" t="str">
        <f>塔内機器_入力①!T64</f>
        <v/>
      </c>
      <c r="X28" s="120" t="s">
        <v>1088</v>
      </c>
      <c r="Y28" s="116">
        <f>IFERROR(VLOOKUP(Y6,塔内機器_出力②_DB!$T$4:$AA$23,8,FALSE),0)</f>
        <v>0</v>
      </c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</row>
    <row r="29" spans="2:36" ht="24" customHeight="1">
      <c r="X29" s="117"/>
      <c r="Y29" s="117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</row>
    <row r="30" spans="2:36" ht="24" customHeight="1">
      <c r="B30" s="51" t="s">
        <v>296</v>
      </c>
      <c r="L30" s="59" t="s">
        <v>297</v>
      </c>
      <c r="X30" s="116" t="s">
        <v>1089</v>
      </c>
      <c r="Y30" s="117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</row>
    <row r="31" spans="2:36" ht="13.5" customHeight="1">
      <c r="B31" s="51">
        <v>1</v>
      </c>
      <c r="C31" s="51" t="s">
        <v>289</v>
      </c>
      <c r="D31" s="58">
        <f>IF($Y$39=0,"",AH32)</f>
        <v>10572.5</v>
      </c>
      <c r="E31" s="51" t="s">
        <v>298</v>
      </c>
      <c r="L31" s="223" t="s">
        <v>299</v>
      </c>
      <c r="M31" s="139"/>
      <c r="N31" s="139"/>
      <c r="O31" s="139"/>
      <c r="P31" s="139"/>
      <c r="Q31" s="60" t="s">
        <v>300</v>
      </c>
      <c r="S31" s="61" t="s">
        <v>301</v>
      </c>
      <c r="U31" s="61" t="s">
        <v>302</v>
      </c>
      <c r="X31" s="126" t="s">
        <v>2284</v>
      </c>
      <c r="Y31" s="124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</row>
    <row r="32" spans="2:36" ht="13.5" customHeight="1">
      <c r="B32" s="51">
        <v>2</v>
      </c>
      <c r="C32" s="51" t="s">
        <v>289</v>
      </c>
      <c r="D32" s="58">
        <f t="shared" ref="D32:D39" si="2">IF($Y$39=0,"",IF(B32&gt;$Y$37,"",IF(B32=$Y$37,$D$22,$D$31+(B32-1)*$H$34)))</f>
        <v>15971.5</v>
      </c>
      <c r="E32" s="51" t="s">
        <v>298</v>
      </c>
      <c r="H32" s="216" t="s">
        <v>303</v>
      </c>
      <c r="I32" s="139"/>
      <c r="J32" s="139"/>
      <c r="L32" s="223">
        <v>0</v>
      </c>
      <c r="M32" s="139"/>
      <c r="N32" s="60" t="s">
        <v>304</v>
      </c>
      <c r="O32" s="223">
        <v>15000</v>
      </c>
      <c r="P32" s="139"/>
      <c r="Q32" s="60">
        <v>1</v>
      </c>
      <c r="S32" s="221" t="s">
        <v>305</v>
      </c>
      <c r="T32" s="139"/>
      <c r="U32" s="62" t="str">
        <f>IF(OR(MID(帳票基本入力!C6,3,4)="P-6-",RIGHT(帳票基本入力!C6,3)="P-6"),"〇","")</f>
        <v/>
      </c>
      <c r="X32" s="127" t="s">
        <v>2285</v>
      </c>
      <c r="Y32" s="125">
        <v>40000</v>
      </c>
      <c r="Z32" s="115"/>
      <c r="AA32" s="115"/>
      <c r="AB32" s="234" t="s">
        <v>2294</v>
      </c>
      <c r="AC32" s="233"/>
      <c r="AD32" s="233"/>
      <c r="AE32" s="233"/>
      <c r="AF32" s="233"/>
      <c r="AG32" s="233"/>
      <c r="AH32" s="233">
        <f>IF(Y15=0,"",塔内機器_入力①!P20/2+$Y$34)</f>
        <v>10572.5</v>
      </c>
      <c r="AI32" s="115"/>
      <c r="AJ32" s="115"/>
    </row>
    <row r="33" spans="2:36" ht="13.5" customHeight="1">
      <c r="B33" s="51">
        <v>3</v>
      </c>
      <c r="C33" s="51" t="s">
        <v>289</v>
      </c>
      <c r="D33" s="58">
        <f t="shared" si="2"/>
        <v>21370</v>
      </c>
      <c r="E33" s="51" t="s">
        <v>298</v>
      </c>
      <c r="H33" s="222">
        <f>IF($Y$39=0,"",(D22-D31)/($Y$37-1))</f>
        <v>5398.75</v>
      </c>
      <c r="I33" s="139"/>
      <c r="J33" s="139"/>
      <c r="L33" s="223">
        <v>15001</v>
      </c>
      <c r="M33" s="139"/>
      <c r="N33" s="60" t="s">
        <v>304</v>
      </c>
      <c r="O33" s="223">
        <v>25000</v>
      </c>
      <c r="P33" s="139"/>
      <c r="Q33" s="60">
        <v>2</v>
      </c>
      <c r="S33" s="221" t="s">
        <v>306</v>
      </c>
      <c r="T33" s="139"/>
      <c r="U33" s="62" t="str">
        <f>IF(OR(MID(帳票基本入力!C6,3,4)="P-9-",RIGHT(帳票基本入力!C6,3)="P-9"),"〇","")</f>
        <v/>
      </c>
      <c r="X33" s="127" t="s">
        <v>2286</v>
      </c>
      <c r="Y33" s="125">
        <v>80000</v>
      </c>
      <c r="Z33" s="115"/>
      <c r="AA33" s="115"/>
      <c r="AB33" s="234" t="s">
        <v>2295</v>
      </c>
      <c r="AC33" s="233"/>
      <c r="AD33" s="233"/>
      <c r="AE33" s="233"/>
      <c r="AF33" s="233"/>
      <c r="AG33" s="233"/>
      <c r="AH33" s="233">
        <f>IF(Y15=0,0,IF(AND(Y37&gt;=2,Y37&lt;=$Y$40,Y37=ROUNDDOWN(Y37,0)),1,0))</f>
        <v>1</v>
      </c>
      <c r="AI33" s="115"/>
      <c r="AJ33" s="115"/>
    </row>
    <row r="34" spans="2:36" ht="13.5" customHeight="1">
      <c r="B34" s="51">
        <v>4</v>
      </c>
      <c r="C34" s="51" t="s">
        <v>289</v>
      </c>
      <c r="D34" s="58" t="str">
        <f t="shared" si="2"/>
        <v/>
      </c>
      <c r="E34" s="51" t="s">
        <v>298</v>
      </c>
      <c r="H34" s="222">
        <f>IF($Y$39=0,"",AH34)</f>
        <v>5399</v>
      </c>
      <c r="I34" s="139"/>
      <c r="J34" s="139"/>
      <c r="L34" s="223">
        <v>25001</v>
      </c>
      <c r="M34" s="139"/>
      <c r="N34" s="60" t="s">
        <v>304</v>
      </c>
      <c r="O34" s="223">
        <v>40000</v>
      </c>
      <c r="P34" s="139"/>
      <c r="Q34" s="60">
        <v>4</v>
      </c>
      <c r="S34" s="221" t="s">
        <v>307</v>
      </c>
      <c r="T34" s="139"/>
      <c r="U34" s="62" t="str">
        <f>IF(OR(MID(帳票基本入力!C6,3,5)="P-11-",RIGHT(帳票基本入力!C6,4)="P-11"),"〇","")</f>
        <v/>
      </c>
      <c r="X34" s="127" t="s">
        <v>2287</v>
      </c>
      <c r="Y34" s="125">
        <v>500</v>
      </c>
      <c r="Z34" s="115"/>
      <c r="AA34" s="115"/>
      <c r="AB34" s="234" t="s">
        <v>2296</v>
      </c>
      <c r="AC34" s="233"/>
      <c r="AD34" s="233"/>
      <c r="AE34" s="233"/>
      <c r="AF34" s="233"/>
      <c r="AG34" s="233"/>
      <c r="AH34" s="233">
        <f>IF(AH33=0,"",ROUNDUP((Y26-AH32)/(Y37-1),0))</f>
        <v>5399</v>
      </c>
      <c r="AI34" s="115"/>
      <c r="AJ34" s="115"/>
    </row>
    <row r="35" spans="2:36" ht="13.5" customHeight="1">
      <c r="B35" s="51">
        <v>5</v>
      </c>
      <c r="C35" s="51" t="s">
        <v>289</v>
      </c>
      <c r="D35" s="58" t="str">
        <f t="shared" si="2"/>
        <v/>
      </c>
      <c r="E35" s="51" t="s">
        <v>298</v>
      </c>
      <c r="L35" s="223">
        <v>40001</v>
      </c>
      <c r="M35" s="139"/>
      <c r="N35" s="60" t="s">
        <v>304</v>
      </c>
      <c r="O35" s="223">
        <v>50000</v>
      </c>
      <c r="P35" s="139"/>
      <c r="Q35" s="60">
        <v>5</v>
      </c>
      <c r="S35" s="221" t="s">
        <v>308</v>
      </c>
      <c r="T35" s="139"/>
      <c r="U35" s="62" t="str">
        <f>IF(OR(MID(帳票基本入力!C6,3,5)="P-13-",RIGHT(帳票基本入力!C6,4)="P-13"),"〇","")</f>
        <v>〇</v>
      </c>
      <c r="X35" s="127" t="s">
        <v>2288</v>
      </c>
      <c r="Y35" s="125">
        <v>295</v>
      </c>
      <c r="Z35" s="115"/>
      <c r="AA35" s="115"/>
      <c r="AB35" s="234" t="s">
        <v>2297</v>
      </c>
      <c r="AC35" s="233"/>
      <c r="AD35" s="233"/>
      <c r="AE35" s="233"/>
      <c r="AF35" s="233"/>
      <c r="AG35" s="233"/>
      <c r="AH35" s="233">
        <f>IF(AH33=0,"",Y26-(AH32+(Y37-2)*AH34))</f>
        <v>5398.5</v>
      </c>
      <c r="AI35" s="115"/>
      <c r="AJ35" s="115"/>
    </row>
    <row r="36" spans="2:36" ht="13.5" customHeight="1">
      <c r="B36" s="51">
        <v>6</v>
      </c>
      <c r="C36" s="51" t="s">
        <v>289</v>
      </c>
      <c r="D36" s="58" t="str">
        <f t="shared" si="2"/>
        <v/>
      </c>
      <c r="E36" s="51" t="s">
        <v>298</v>
      </c>
      <c r="L36" s="223">
        <v>50001</v>
      </c>
      <c r="M36" s="139"/>
      <c r="N36" s="60" t="s">
        <v>304</v>
      </c>
      <c r="O36" s="223">
        <v>60000</v>
      </c>
      <c r="P36" s="139"/>
      <c r="Q36" s="60">
        <v>5</v>
      </c>
      <c r="S36" s="221" t="s">
        <v>309</v>
      </c>
      <c r="T36" s="139"/>
      <c r="U36" s="62" t="str">
        <f>IF(OR(MID(帳票基本入力!C6,3,5)="P-15-",RIGHT(帳票基本入力!C6,4)="P-15"),"〇","")</f>
        <v/>
      </c>
      <c r="X36" s="127" t="s">
        <v>2289</v>
      </c>
      <c r="Y36" s="125">
        <f>IF(Y15=0,"",IF(塔内機器_入力①!P20&lt;=$Y$32,1,2))</f>
        <v>1</v>
      </c>
      <c r="Z36" s="115"/>
      <c r="AA36" s="115"/>
      <c r="AB36" s="234" t="s">
        <v>2298</v>
      </c>
      <c r="AC36" s="233"/>
      <c r="AD36" s="233"/>
      <c r="AE36" s="233"/>
      <c r="AF36" s="233"/>
      <c r="AG36" s="233"/>
      <c r="AH36" s="233" t="str">
        <f>IF(Y15=0,Y16,IF(AH33=0,"要確認：出力②の取付箇所数が範囲外",IF(Y39=0,"要確認：出力②の取付間隔が0以下","")))</f>
        <v/>
      </c>
      <c r="AI36" s="115"/>
      <c r="AJ36" s="115"/>
    </row>
    <row r="37" spans="2:36" ht="13.5" customHeight="1">
      <c r="B37" s="51">
        <v>7</v>
      </c>
      <c r="C37" s="51" t="s">
        <v>289</v>
      </c>
      <c r="D37" s="58" t="str">
        <f t="shared" si="2"/>
        <v/>
      </c>
      <c r="E37" s="51" t="s">
        <v>298</v>
      </c>
      <c r="L37" s="223">
        <v>60001</v>
      </c>
      <c r="M37" s="139"/>
      <c r="N37" s="60" t="s">
        <v>304</v>
      </c>
      <c r="O37" s="223">
        <v>70000</v>
      </c>
      <c r="P37" s="139"/>
      <c r="Q37" s="60">
        <v>5</v>
      </c>
      <c r="X37" s="127" t="s">
        <v>2290</v>
      </c>
      <c r="Y37" s="125">
        <f>IF(Y15=0,"",Y25+Y36)</f>
        <v>3</v>
      </c>
      <c r="Z37" s="115"/>
      <c r="AA37" s="115"/>
      <c r="AB37" s="234" t="s">
        <v>2299</v>
      </c>
      <c r="AC37" s="233"/>
      <c r="AD37" s="233"/>
      <c r="AE37" s="233"/>
      <c r="AF37" s="233"/>
      <c r="AG37" s="233"/>
      <c r="AH37" s="233">
        <f>IF(Y15=0,0,IF(帳票基本入力!C7="Cwtｾﾌﾃｨなし",0,Y24))</f>
        <v>1</v>
      </c>
      <c r="AI37" s="115"/>
      <c r="AJ37" s="115"/>
    </row>
    <row r="38" spans="2:36" ht="13.5" customHeight="1">
      <c r="B38" s="51">
        <v>8</v>
      </c>
      <c r="C38" s="51" t="s">
        <v>289</v>
      </c>
      <c r="D38" s="58" t="str">
        <f t="shared" si="2"/>
        <v/>
      </c>
      <c r="E38" s="51" t="s">
        <v>298</v>
      </c>
      <c r="L38" s="223">
        <v>70001</v>
      </c>
      <c r="M38" s="139"/>
      <c r="N38" s="60" t="s">
        <v>304</v>
      </c>
      <c r="O38" s="223">
        <v>80000</v>
      </c>
      <c r="P38" s="139"/>
      <c r="Q38" s="60">
        <v>6</v>
      </c>
      <c r="X38" s="127" t="s">
        <v>2291</v>
      </c>
      <c r="Y38" s="125" t="str">
        <f>IF(Y15=0,"",IF(塔内機器_入力①!P20&lt;=$Y$33,"Lタイプ","Hタイプ"))</f>
        <v>Lタイプ</v>
      </c>
      <c r="Z38" s="115"/>
      <c r="AA38" s="115"/>
      <c r="AB38" s="234" t="s">
        <v>2300</v>
      </c>
      <c r="AC38" s="233"/>
      <c r="AD38" s="233"/>
      <c r="AE38" s="233"/>
      <c r="AF38" s="233"/>
      <c r="AG38" s="233"/>
      <c r="AH38" s="233">
        <f>IF(Y15=0,"",IF(OR(AH37&lt;=0,AH37&gt;6,AH37&lt;&gt;ROUNDDOWN(AH37,0)),"",塔内機器_入力①!B20/(AH37+1)))</f>
        <v>12235</v>
      </c>
      <c r="AI38" s="115"/>
      <c r="AJ38" s="115"/>
    </row>
    <row r="39" spans="2:36" ht="13.5" customHeight="1">
      <c r="B39" s="51">
        <v>9</v>
      </c>
      <c r="C39" s="51" t="s">
        <v>289</v>
      </c>
      <c r="D39" s="58" t="str">
        <f t="shared" si="2"/>
        <v/>
      </c>
      <c r="E39" s="51" t="s">
        <v>298</v>
      </c>
      <c r="L39" s="224">
        <v>80001</v>
      </c>
      <c r="M39" s="139"/>
      <c r="N39" s="63" t="s">
        <v>304</v>
      </c>
      <c r="O39" s="224">
        <v>90000</v>
      </c>
      <c r="P39" s="139"/>
      <c r="Q39" s="63">
        <v>7</v>
      </c>
      <c r="X39" s="127" t="s">
        <v>2292</v>
      </c>
      <c r="Y39" s="125">
        <f>IF(AH33=0,0,IF(AND(AH34&gt;0,AH35&gt;0),1,0))</f>
        <v>1</v>
      </c>
      <c r="Z39" s="115"/>
      <c r="AA39" s="115"/>
      <c r="AB39" s="234" t="s">
        <v>2301</v>
      </c>
      <c r="AC39" s="233"/>
      <c r="AD39" s="233"/>
      <c r="AE39" s="233"/>
      <c r="AF39" s="233"/>
      <c r="AG39" s="233"/>
      <c r="AH39" s="233">
        <f>IF(AH38="","",AH38*AH37)</f>
        <v>12235</v>
      </c>
      <c r="AI39" s="115"/>
      <c r="AJ39" s="115"/>
    </row>
    <row r="40" spans="2:36" ht="13.5" customHeight="1">
      <c r="X40" s="127" t="s">
        <v>2293</v>
      </c>
      <c r="Y40" s="125">
        <v>9</v>
      </c>
      <c r="Z40" s="115"/>
      <c r="AA40" s="115"/>
      <c r="AB40" s="234" t="s">
        <v>2302</v>
      </c>
      <c r="AC40" s="233"/>
      <c r="AD40" s="233"/>
      <c r="AE40" s="233"/>
      <c r="AF40" s="233"/>
      <c r="AG40" s="233"/>
      <c r="AH40" s="233">
        <f>IF(Y15=0,0,IF(AH37=0,1,IF(AH38="",0,IF(AND(AH38&gt;=L5,AH39&lt;=塔内機器_入力①!B20),1,0))))</f>
        <v>1</v>
      </c>
      <c r="AI40" s="115"/>
      <c r="AJ40" s="115"/>
    </row>
    <row r="41" spans="2:36" ht="13.5" customHeight="1">
      <c r="X41" s="115"/>
      <c r="Y41" s="115"/>
      <c r="Z41" s="115"/>
      <c r="AA41" s="115"/>
      <c r="AB41" s="234" t="s">
        <v>2303</v>
      </c>
      <c r="AC41" s="233"/>
      <c r="AD41" s="233"/>
      <c r="AE41" s="233"/>
      <c r="AF41" s="233"/>
      <c r="AG41" s="233"/>
      <c r="AH41" s="233" t="str">
        <f>IF(Y15=0,Y16,IF(AH37=0,"",IF(AH38="","要確認：出力①の取付箇所数が範囲外",IF(AH40=0,"要確認：出力①の位置が最下階FL未満",""))))</f>
        <v/>
      </c>
      <c r="AI41" s="115"/>
      <c r="AJ41" s="115"/>
    </row>
    <row r="42" spans="2:36" ht="13.5" customHeight="1">
      <c r="X42" s="115"/>
      <c r="Y42" s="115"/>
      <c r="Z42" s="115"/>
      <c r="AA42" s="115"/>
      <c r="AB42" s="234" t="s">
        <v>2304</v>
      </c>
      <c r="AC42" s="233"/>
      <c r="AD42" s="233"/>
      <c r="AE42" s="233"/>
      <c r="AF42" s="233"/>
      <c r="AG42" s="233"/>
      <c r="AH42" s="233" t="s">
        <v>2305</v>
      </c>
      <c r="AI42" s="115"/>
      <c r="AJ42" s="115"/>
    </row>
    <row r="43" spans="2:36" ht="13.5" customHeight="1">
      <c r="B43" s="64" t="s">
        <v>310</v>
      </c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</row>
    <row r="44" spans="2:36" ht="18.95" customHeight="1">
      <c r="B44" s="65" t="s">
        <v>266</v>
      </c>
      <c r="C44" s="66" t="s">
        <v>287</v>
      </c>
      <c r="E44" s="66" t="s">
        <v>311</v>
      </c>
      <c r="G44" s="66" t="s">
        <v>312</v>
      </c>
      <c r="I44" s="67" t="s">
        <v>313</v>
      </c>
      <c r="X44" s="115"/>
      <c r="Y44" s="115"/>
      <c r="Z44" s="121" t="s">
        <v>1090</v>
      </c>
      <c r="AA44" s="121" t="s">
        <v>1091</v>
      </c>
      <c r="AB44" s="121" t="s">
        <v>1092</v>
      </c>
      <c r="AC44" s="121" t="s">
        <v>1093</v>
      </c>
      <c r="AD44" s="121" t="s">
        <v>1094</v>
      </c>
      <c r="AE44" s="121" t="s">
        <v>1095</v>
      </c>
      <c r="AF44" s="121" t="s">
        <v>1096</v>
      </c>
      <c r="AG44" s="121" t="s">
        <v>1097</v>
      </c>
      <c r="AH44" s="121" t="s">
        <v>1098</v>
      </c>
      <c r="AI44" s="121" t="s">
        <v>1099</v>
      </c>
      <c r="AJ44" s="121" t="s">
        <v>1100</v>
      </c>
    </row>
    <row r="45" spans="2:36" ht="18.95" customHeight="1">
      <c r="B45" s="68" t="str">
        <f>IF(塔内機器_入力①!B36="", "", 塔内機器_入力①!B36)</f>
        <v>1</v>
      </c>
      <c r="C45" s="225">
        <f>IF(AND(B45&lt;&gt;"",B46&lt;&gt;""),IF(AA45=0,塔内機器_入力①!E38,0),0)</f>
        <v>3745</v>
      </c>
      <c r="D45" s="139"/>
      <c r="E45" s="69">
        <f>IF(B45="","",SUM($AD$45:AD45)-COUNTIF($B$45:B45,"N"))</f>
        <v>1</v>
      </c>
      <c r="F45" s="70" t="str">
        <f t="shared" ref="F45:F68" si="3">B45</f>
        <v>1</v>
      </c>
      <c r="G45" s="225">
        <f t="shared" ref="G45:G68" si="4">IF(B45="N","",SUMIF($E$45:$E$68,E45,$C$45:$C$68))</f>
        <v>3745</v>
      </c>
      <c r="H45" s="139"/>
      <c r="I45" s="226">
        <f t="shared" ref="I45:I68" si="5">IF(B45="","",$Y$6*100000+G45)</f>
        <v>10403745</v>
      </c>
      <c r="J45" s="139"/>
      <c r="K45" s="71" t="str">
        <f>IF(B45="","",IF($Y$15=0,"入力要確認",IF(E45=MAX($E$45:$E$68),"無し",IF(AG45&lt;&gt;$Y$6,"DB未登録",IF(OR(I45&lt;AE45,G45&gt;AF45),"階高範囲外",IF(AI45&lt;&gt;1,"推定DB未確認",VLOOKUP(I45,塔内機器_出力②_DB!$A$4:$L$1123,9,TRUE)))))))</f>
        <v>420【1】+800【1】</v>
      </c>
      <c r="X45" s="115"/>
      <c r="Y45" s="115"/>
      <c r="Z45" s="118" t="str">
        <f>IF($Y$4&lt;&gt;1,0,IFERROR(VLOOKUP(帳票基本入力!C5,塔内機器_入力①_DB!$C$2:$AA$937,2,FALSE),0))</f>
        <v>1</v>
      </c>
      <c r="AA45" s="118">
        <f>IF(AND(B45&lt;&gt;"",B46&lt;&gt;""),1-IFERROR(IF(AND(COUNT(塔内機器_入力①!E38)=1,塔内機器_入力①!E38&gt;0,塔内機器_入力①!E38&lt;=90000,塔内機器_入力①!E38=ROUNDDOWN(塔内機器_入力①!E38,0)),1,0),0),0)</f>
        <v>0</v>
      </c>
      <c r="AB45" s="118">
        <f>IF(AND(B45&lt;&gt;"",B46&lt;&gt;""),0,IF(塔内機器_入力①!E38="",0,1))</f>
        <v>0</v>
      </c>
      <c r="AC45" s="118">
        <f>IF(B45="",0,IF(OR(0=1,AND(B45&lt;&gt;"N",COUNTIF($B$45:$B$68,B45)&gt;1)),1,0))</f>
        <v>0</v>
      </c>
      <c r="AD45" s="118">
        <f t="shared" ref="AD45:AD68" si="6">IF(B45="",0,1)</f>
        <v>1</v>
      </c>
      <c r="AE45" s="118">
        <f>IF(B45="",0,IFERROR(VLOOKUP(I45,塔内機器_出力②_DB!$A$4:$L$1123,1,TRUE),0))</f>
        <v>10403666</v>
      </c>
      <c r="AF45" s="118">
        <f>IF(B45="",-1,IFERROR(VLOOKUP(I45,塔内機器_出力②_DB!$A$4:$L$1123,8,TRUE),-1))</f>
        <v>3765</v>
      </c>
      <c r="AG45" s="118">
        <f t="shared" ref="AG45:AG68" si="7">ROUNDDOWN(AE45/100000,0)</f>
        <v>104</v>
      </c>
      <c r="AH45" s="118" t="str">
        <f>IF(B45="","未登録",IFERROR(VLOOKUP(I45,塔内機器_出力②_DB!$A$4:$L$1123,12,TRUE),"未登録"))</f>
        <v>QR収録</v>
      </c>
      <c r="AI45" s="118">
        <f t="shared" ref="AI45:AI68" si="8">IF(AH45="QR収録",1,$Y$28)</f>
        <v>1</v>
      </c>
      <c r="AJ45" s="118">
        <f t="shared" ref="AJ45:AJ68" si="9">IF(OR(B45="",E45=MAX($E$45:$E$68)),0,IF(AND($Y$6&gt;0,AG45=$Y$6,I45&gt;=AE45,G45&lt;=AF45,AI45=1),0,1))</f>
        <v>0</v>
      </c>
    </row>
    <row r="46" spans="2:36" ht="18.95" customHeight="1">
      <c r="B46" s="68" t="str">
        <f>IF(塔内機器_入力①!B40="", "", 塔内機器_入力①!B40)</f>
        <v>2</v>
      </c>
      <c r="C46" s="225">
        <f>IF(AND(B46&lt;&gt;"",B47&lt;&gt;""),IF(AA46=0,塔内機器_入力①!E42,0),0)</f>
        <v>3300</v>
      </c>
      <c r="D46" s="139"/>
      <c r="E46" s="69">
        <f t="shared" ref="E46:E63" si="10">IF(B46="","",SUM($AD$45:AD46)-COUNTIF($B$45:B46,"N"))</f>
        <v>2</v>
      </c>
      <c r="F46" s="70" t="str">
        <f t="shared" si="3"/>
        <v>2</v>
      </c>
      <c r="G46" s="225">
        <f t="shared" si="4"/>
        <v>3300</v>
      </c>
      <c r="H46" s="139"/>
      <c r="I46" s="226">
        <f t="shared" si="5"/>
        <v>10403300</v>
      </c>
      <c r="J46" s="139"/>
      <c r="K46" s="71" t="str">
        <f>IF(B46="","",IF($Y$15=0,"入力要確認",IF(E46=MAX($E$45:$E$68),"無し",IF(AG46&lt;&gt;$Y$6,"DB未登録",IF(OR(I46&lt;AE46,G46&gt;AF46),"階高範囲外",IF(AI46&lt;&gt;1,"推定DB未確認",VLOOKUP(I46,塔内機器_出力②_DB!$A$4:$L$1123,9,TRUE)))))))</f>
        <v>820【1】</v>
      </c>
      <c r="X46" s="115"/>
      <c r="Y46" s="115"/>
      <c r="Z46" s="118" t="str">
        <f>IF($Y$4&lt;&gt;1,0,IFERROR(VLOOKUP(帳票基本入力!C5,塔内機器_入力①_DB!$C$2:$AA$937,3,FALSE),0))</f>
        <v>2</v>
      </c>
      <c r="AA46" s="118">
        <f>IF(AND(B46&lt;&gt;"",B47&lt;&gt;""),1-IFERROR(IF(AND(COUNT(塔内機器_入力①!E42)=1,塔内機器_入力①!E42&gt;0,塔内機器_入力①!E42&lt;=90000,塔内機器_入力①!E42=ROUNDDOWN(塔内機器_入力①!E42,0)),1,0),0),0)</f>
        <v>0</v>
      </c>
      <c r="AB46" s="118">
        <f>IF(AND(B46&lt;&gt;"",B47&lt;&gt;""),0,IF(塔内機器_入力①!E42="",0,1))</f>
        <v>0</v>
      </c>
      <c r="AC46" s="118">
        <f t="shared" ref="AC46:AC68" si="11">IF(B46="",0,IF(OR(B45="",AND(B46&lt;&gt;"N",COUNTIF($B$45:$B$68,B46)&gt;1)),1,0))</f>
        <v>0</v>
      </c>
      <c r="AD46" s="118">
        <f t="shared" si="6"/>
        <v>1</v>
      </c>
      <c r="AE46" s="118">
        <f>IF(B46="",0,IFERROR(VLOOKUP(I46,塔内機器_出力②_DB!$A$4:$L$1123,1,TRUE),0))</f>
        <v>10403266</v>
      </c>
      <c r="AF46" s="118">
        <f>IF(B46="",-1,IFERROR(VLOOKUP(I46,塔内機器_出力②_DB!$A$4:$L$1123,8,TRUE),-1))</f>
        <v>3365</v>
      </c>
      <c r="AG46" s="118">
        <f t="shared" si="7"/>
        <v>104</v>
      </c>
      <c r="AH46" s="118" t="str">
        <f>IF(B46="","未登録",IFERROR(VLOOKUP(I46,塔内機器_出力②_DB!$A$4:$L$1123,12,TRUE),"未登録"))</f>
        <v>QR収録</v>
      </c>
      <c r="AI46" s="118">
        <f t="shared" si="8"/>
        <v>1</v>
      </c>
      <c r="AJ46" s="118">
        <f t="shared" si="9"/>
        <v>0</v>
      </c>
    </row>
    <row r="47" spans="2:36" ht="18.95" customHeight="1">
      <c r="B47" s="68" t="str">
        <f>IF(塔内機器_入力①!B44="", "", 塔内機器_入力①!B44)</f>
        <v>3</v>
      </c>
      <c r="C47" s="225">
        <f>IF(AND(B47&lt;&gt;"",B48&lt;&gt;""),IF(AA47=0,塔内機器_入力①!E46,0),0)</f>
        <v>3300</v>
      </c>
      <c r="D47" s="139"/>
      <c r="E47" s="69">
        <f t="shared" si="10"/>
        <v>3</v>
      </c>
      <c r="F47" s="70" t="str">
        <f t="shared" si="3"/>
        <v>3</v>
      </c>
      <c r="G47" s="225">
        <f t="shared" si="4"/>
        <v>3300</v>
      </c>
      <c r="H47" s="139"/>
      <c r="I47" s="226">
        <f t="shared" si="5"/>
        <v>10403300</v>
      </c>
      <c r="J47" s="139"/>
      <c r="K47" s="71" t="str">
        <f>IF(B47="","",IF($Y$15=0,"入力要確認",IF(E47=MAX($E$45:$E$68),"無し",IF(AG47&lt;&gt;$Y$6,"DB未登録",IF(OR(I47&lt;AE47,G47&gt;AF47),"階高範囲外",IF(AI47&lt;&gt;1,"推定DB未確認",VLOOKUP(I47,塔内機器_出力②_DB!$A$4:$L$1123,9,TRUE)))))))</f>
        <v>820【1】</v>
      </c>
      <c r="X47" s="115"/>
      <c r="Y47" s="115"/>
      <c r="Z47" s="118" t="str">
        <f>IF($Y$4&lt;&gt;1,0,IFERROR(VLOOKUP(帳票基本入力!C5,塔内機器_入力①_DB!$C$2:$AA$937,4,FALSE),0))</f>
        <v>3</v>
      </c>
      <c r="AA47" s="118">
        <f>IF(AND(B47&lt;&gt;"",B48&lt;&gt;""),1-IFERROR(IF(AND(COUNT(塔内機器_入力①!E46)=1,塔内機器_入力①!E46&gt;0,塔内機器_入力①!E46&lt;=90000,塔内機器_入力①!E46=ROUNDDOWN(塔内機器_入力①!E46,0)),1,0),0),0)</f>
        <v>0</v>
      </c>
      <c r="AB47" s="118">
        <f>IF(AND(B47&lt;&gt;"",B48&lt;&gt;""),0,IF(塔内機器_入力①!E46="",0,1))</f>
        <v>0</v>
      </c>
      <c r="AC47" s="118">
        <f t="shared" si="11"/>
        <v>0</v>
      </c>
      <c r="AD47" s="118">
        <f t="shared" si="6"/>
        <v>1</v>
      </c>
      <c r="AE47" s="118">
        <f>IF(B47="",0,IFERROR(VLOOKUP(I47,塔内機器_出力②_DB!$A$4:$L$1123,1,TRUE),0))</f>
        <v>10403266</v>
      </c>
      <c r="AF47" s="118">
        <f>IF(B47="",-1,IFERROR(VLOOKUP(I47,塔内機器_出力②_DB!$A$4:$L$1123,8,TRUE),-1))</f>
        <v>3365</v>
      </c>
      <c r="AG47" s="118">
        <f t="shared" si="7"/>
        <v>104</v>
      </c>
      <c r="AH47" s="118" t="str">
        <f>IF(B47="","未登録",IFERROR(VLOOKUP(I47,塔内機器_出力②_DB!$A$4:$L$1123,12,TRUE),"未登録"))</f>
        <v>QR収録</v>
      </c>
      <c r="AI47" s="118">
        <f t="shared" si="8"/>
        <v>1</v>
      </c>
      <c r="AJ47" s="118">
        <f t="shared" si="9"/>
        <v>0</v>
      </c>
    </row>
    <row r="48" spans="2:36" ht="18.95" customHeight="1">
      <c r="B48" s="68" t="str">
        <f>IF(塔内機器_入力①!B48="", "", 塔内機器_入力①!B48)</f>
        <v>4</v>
      </c>
      <c r="C48" s="225">
        <f>IF(AND(B48&lt;&gt;"",B49&lt;&gt;""),IF(AA48=0,塔内機器_入力①!E50,0),0)</f>
        <v>3300</v>
      </c>
      <c r="D48" s="139"/>
      <c r="E48" s="69">
        <f t="shared" si="10"/>
        <v>4</v>
      </c>
      <c r="F48" s="70" t="str">
        <f t="shared" si="3"/>
        <v>4</v>
      </c>
      <c r="G48" s="225">
        <f t="shared" si="4"/>
        <v>3300</v>
      </c>
      <c r="H48" s="139"/>
      <c r="I48" s="226">
        <f t="shared" si="5"/>
        <v>10403300</v>
      </c>
      <c r="J48" s="139"/>
      <c r="K48" s="71" t="str">
        <f>IF(B48="","",IF($Y$15=0,"入力要確認",IF(E48=MAX($E$45:$E$68),"無し",IF(AG48&lt;&gt;$Y$6,"DB未登録",IF(OR(I48&lt;AE48,G48&gt;AF48),"階高範囲外",IF(AI48&lt;&gt;1,"推定DB未確認",VLOOKUP(I48,塔内機器_出力②_DB!$A$4:$L$1123,9,TRUE)))))))</f>
        <v>820【1】</v>
      </c>
      <c r="X48" s="115"/>
      <c r="Y48" s="115"/>
      <c r="Z48" s="118" t="str">
        <f>IF($Y$4&lt;&gt;1,0,IFERROR(VLOOKUP(帳票基本入力!C5,塔内機器_入力①_DB!$C$2:$AA$937,5,FALSE),0))</f>
        <v>4</v>
      </c>
      <c r="AA48" s="118">
        <f>IF(AND(B48&lt;&gt;"",B49&lt;&gt;""),1-IFERROR(IF(AND(COUNT(塔内機器_入力①!E50)=1,塔内機器_入力①!E50&gt;0,塔内機器_入力①!E50&lt;=90000,塔内機器_入力①!E50=ROUNDDOWN(塔内機器_入力①!E50,0)),1,0),0),0)</f>
        <v>0</v>
      </c>
      <c r="AB48" s="118">
        <f>IF(AND(B48&lt;&gt;"",B49&lt;&gt;""),0,IF(塔内機器_入力①!E50="",0,1))</f>
        <v>0</v>
      </c>
      <c r="AC48" s="118">
        <f t="shared" si="11"/>
        <v>0</v>
      </c>
      <c r="AD48" s="118">
        <f t="shared" si="6"/>
        <v>1</v>
      </c>
      <c r="AE48" s="118">
        <f>IF(B48="",0,IFERROR(VLOOKUP(I48,塔内機器_出力②_DB!$A$4:$L$1123,1,TRUE),0))</f>
        <v>10403266</v>
      </c>
      <c r="AF48" s="118">
        <f>IF(B48="",-1,IFERROR(VLOOKUP(I48,塔内機器_出力②_DB!$A$4:$L$1123,8,TRUE),-1))</f>
        <v>3365</v>
      </c>
      <c r="AG48" s="118">
        <f t="shared" si="7"/>
        <v>104</v>
      </c>
      <c r="AH48" s="118" t="str">
        <f>IF(B48="","未登録",IFERROR(VLOOKUP(I48,塔内機器_出力②_DB!$A$4:$L$1123,12,TRUE),"未登録"))</f>
        <v>QR収録</v>
      </c>
      <c r="AI48" s="118">
        <f t="shared" si="8"/>
        <v>1</v>
      </c>
      <c r="AJ48" s="118">
        <f t="shared" si="9"/>
        <v>0</v>
      </c>
    </row>
    <row r="49" spans="2:36" ht="18.95" customHeight="1">
      <c r="B49" s="68" t="str">
        <f>IF(塔内機器_入力①!B52="", "", 塔内機器_入力①!B52)</f>
        <v>5</v>
      </c>
      <c r="C49" s="225">
        <f>IF(AND(B49&lt;&gt;"",B50&lt;&gt;""),IF(AA49=0,塔内機器_入力①!E54,0),0)</f>
        <v>3250</v>
      </c>
      <c r="D49" s="139"/>
      <c r="E49" s="69">
        <f t="shared" si="10"/>
        <v>5</v>
      </c>
      <c r="F49" s="70" t="str">
        <f t="shared" si="3"/>
        <v>5</v>
      </c>
      <c r="G49" s="225">
        <f t="shared" si="4"/>
        <v>3250</v>
      </c>
      <c r="H49" s="139"/>
      <c r="I49" s="226">
        <f t="shared" si="5"/>
        <v>10403250</v>
      </c>
      <c r="J49" s="139"/>
      <c r="K49" s="71" t="str">
        <f>IF(B49="","",IF($Y$15=0,"入力要確認",IF(E49=MAX($E$45:$E$68),"無し",IF(AG49&lt;&gt;$Y$6,"DB未登録",IF(OR(I49&lt;AE49,G49&gt;AF49),"階高範囲外",IF(AI49&lt;&gt;1,"推定DB未確認",VLOOKUP(I49,塔内機器_出力②_DB!$A$4:$L$1123,9,TRUE)))))))</f>
        <v>720【1】</v>
      </c>
      <c r="X49" s="115"/>
      <c r="Y49" s="115"/>
      <c r="Z49" s="118" t="str">
        <f>IF($Y$4&lt;&gt;1,0,IFERROR(VLOOKUP(帳票基本入力!C5,塔内機器_入力①_DB!$C$2:$AA$937,6,FALSE),0))</f>
        <v>5</v>
      </c>
      <c r="AA49" s="118">
        <f>IF(AND(B49&lt;&gt;"",B50&lt;&gt;""),1-IFERROR(IF(AND(COUNT(塔内機器_入力①!E54)=1,塔内機器_入力①!E54&gt;0,塔内機器_入力①!E54&lt;=90000,塔内機器_入力①!E54=ROUNDDOWN(塔内機器_入力①!E54,0)),1,0),0),0)</f>
        <v>0</v>
      </c>
      <c r="AB49" s="118">
        <f>IF(AND(B49&lt;&gt;"",B50&lt;&gt;""),0,IF(塔内機器_入力①!E54="",0,1))</f>
        <v>0</v>
      </c>
      <c r="AC49" s="118">
        <f t="shared" si="11"/>
        <v>0</v>
      </c>
      <c r="AD49" s="118">
        <f t="shared" si="6"/>
        <v>1</v>
      </c>
      <c r="AE49" s="118">
        <f>IF(B49="",0,IFERROR(VLOOKUP(I49,塔内機器_出力②_DB!$A$4:$L$1123,1,TRUE),0))</f>
        <v>10403166</v>
      </c>
      <c r="AF49" s="118">
        <f>IF(B49="",-1,IFERROR(VLOOKUP(I49,塔内機器_出力②_DB!$A$4:$L$1123,8,TRUE),-1))</f>
        <v>3265</v>
      </c>
      <c r="AG49" s="118">
        <f t="shared" si="7"/>
        <v>104</v>
      </c>
      <c r="AH49" s="118" t="str">
        <f>IF(B49="","未登録",IFERROR(VLOOKUP(I49,塔内機器_出力②_DB!$A$4:$L$1123,12,TRUE),"未登録"))</f>
        <v>QR収録</v>
      </c>
      <c r="AI49" s="118">
        <f t="shared" si="8"/>
        <v>1</v>
      </c>
      <c r="AJ49" s="118">
        <f t="shared" si="9"/>
        <v>0</v>
      </c>
    </row>
    <row r="50" spans="2:36" ht="18.95" customHeight="1">
      <c r="B50" s="68" t="str">
        <f>IF(塔内機器_入力①!B56="", "", 塔内機器_入力①!B56)</f>
        <v>6</v>
      </c>
      <c r="C50" s="225">
        <f>IF(AND(B50&lt;&gt;"",B51&lt;&gt;""),IF(AA50=0,塔内機器_入力①!E58,0),0)</f>
        <v>3250</v>
      </c>
      <c r="D50" s="139"/>
      <c r="E50" s="69">
        <f t="shared" si="10"/>
        <v>6</v>
      </c>
      <c r="F50" s="70" t="str">
        <f t="shared" si="3"/>
        <v>6</v>
      </c>
      <c r="G50" s="225">
        <f t="shared" si="4"/>
        <v>3250</v>
      </c>
      <c r="H50" s="139"/>
      <c r="I50" s="226">
        <f t="shared" si="5"/>
        <v>10403250</v>
      </c>
      <c r="J50" s="139"/>
      <c r="K50" s="71" t="str">
        <f>IF(B50="","",IF($Y$15=0,"入力要確認",IF(E50=MAX($E$45:$E$68),"無し",IF(AG50&lt;&gt;$Y$6,"DB未登録",IF(OR(I50&lt;AE50,G50&gt;AF50),"階高範囲外",IF(AI50&lt;&gt;1,"推定DB未確認",VLOOKUP(I50,塔内機器_出力②_DB!$A$4:$L$1123,9,TRUE)))))))</f>
        <v>720【1】</v>
      </c>
      <c r="X50" s="115"/>
      <c r="Y50" s="115"/>
      <c r="Z50" s="118" t="str">
        <f>IF($Y$4&lt;&gt;1,0,IFERROR(VLOOKUP(帳票基本入力!C5,塔内機器_入力①_DB!$C$2:$AA$937,7,FALSE),0))</f>
        <v>6</v>
      </c>
      <c r="AA50" s="118">
        <f>IF(AND(B50&lt;&gt;"",B51&lt;&gt;""),1-IFERROR(IF(AND(COUNT(塔内機器_入力①!E58)=1,塔内機器_入力①!E58&gt;0,塔内機器_入力①!E58&lt;=90000,塔内機器_入力①!E58=ROUNDDOWN(塔内機器_入力①!E58,0)),1,0),0),0)</f>
        <v>0</v>
      </c>
      <c r="AB50" s="118">
        <f>IF(AND(B50&lt;&gt;"",B51&lt;&gt;""),0,IF(塔内機器_入力①!E58="",0,1))</f>
        <v>0</v>
      </c>
      <c r="AC50" s="118">
        <f t="shared" si="11"/>
        <v>0</v>
      </c>
      <c r="AD50" s="118">
        <f t="shared" si="6"/>
        <v>1</v>
      </c>
      <c r="AE50" s="118">
        <f>IF(B50="",0,IFERROR(VLOOKUP(I50,塔内機器_出力②_DB!$A$4:$L$1123,1,TRUE),0))</f>
        <v>10403166</v>
      </c>
      <c r="AF50" s="118">
        <f>IF(B50="",-1,IFERROR(VLOOKUP(I50,塔内機器_出力②_DB!$A$4:$L$1123,8,TRUE),-1))</f>
        <v>3265</v>
      </c>
      <c r="AG50" s="118">
        <f t="shared" si="7"/>
        <v>104</v>
      </c>
      <c r="AH50" s="118" t="str">
        <f>IF(B50="","未登録",IFERROR(VLOOKUP(I50,塔内機器_出力②_DB!$A$4:$L$1123,12,TRUE),"未登録"))</f>
        <v>QR収録</v>
      </c>
      <c r="AI50" s="118">
        <f t="shared" si="8"/>
        <v>1</v>
      </c>
      <c r="AJ50" s="118">
        <f t="shared" si="9"/>
        <v>0</v>
      </c>
    </row>
    <row r="51" spans="2:36" ht="18.95" customHeight="1">
      <c r="B51" s="68" t="str">
        <f>IF(塔内機器_入力①!B60="", "", 塔内機器_入力①!B60)</f>
        <v>7</v>
      </c>
      <c r="C51" s="225">
        <f>IF(AND(B51&lt;&gt;"",B52&lt;&gt;""),IF(AA51=0,塔内機器_入力①!E62,0),0)</f>
        <v>0</v>
      </c>
      <c r="D51" s="139"/>
      <c r="E51" s="69">
        <f t="shared" si="10"/>
        <v>7</v>
      </c>
      <c r="F51" s="70" t="str">
        <f t="shared" si="3"/>
        <v>7</v>
      </c>
      <c r="G51" s="225">
        <f t="shared" si="4"/>
        <v>0</v>
      </c>
      <c r="H51" s="139"/>
      <c r="I51" s="226">
        <f t="shared" si="5"/>
        <v>10400000</v>
      </c>
      <c r="J51" s="139"/>
      <c r="K51" s="71" t="str">
        <f>IF(B51="","",IF($Y$15=0,"入力要確認",IF(E51=MAX($E$45:$E$68),"無し",IF(AG51&lt;&gt;$Y$6,"DB未登録",IF(OR(I51&lt;AE51,G51&gt;AF51),"階高範囲外",IF(AI51&lt;&gt;1,"推定DB未確認",VLOOKUP(I51,塔内機器_出力②_DB!$A$4:$L$1123,9,TRUE)))))))</f>
        <v>無し</v>
      </c>
      <c r="X51" s="115"/>
      <c r="Y51" s="115"/>
      <c r="Z51" s="118" t="str">
        <f>IF($Y$4&lt;&gt;1,0,IFERROR(VLOOKUP(帳票基本入力!C5,塔内機器_入力①_DB!$C$2:$AA$937,8,FALSE),0))</f>
        <v>7</v>
      </c>
      <c r="AA51" s="118">
        <f>IF(AND(B51&lt;&gt;"",B52&lt;&gt;""),1-IFERROR(IF(AND(COUNT(塔内機器_入力①!E62)=1,塔内機器_入力①!E62&gt;0,塔内機器_入力①!E62&lt;=90000,塔内機器_入力①!E62=ROUNDDOWN(塔内機器_入力①!E62,0)),1,0),0),0)</f>
        <v>0</v>
      </c>
      <c r="AB51" s="118">
        <f>IF(AND(B51&lt;&gt;"",B52&lt;&gt;""),0,IF(塔内機器_入力①!E62="",0,1))</f>
        <v>0</v>
      </c>
      <c r="AC51" s="118">
        <f t="shared" si="11"/>
        <v>0</v>
      </c>
      <c r="AD51" s="118">
        <f t="shared" si="6"/>
        <v>1</v>
      </c>
      <c r="AE51" s="118">
        <f>IF(B51="",0,IFERROR(VLOOKUP(I51,塔内機器_出力②_DB!$A$4:$L$1123,1,TRUE),0))</f>
        <v>10400000</v>
      </c>
      <c r="AF51" s="118">
        <f>IF(B51="",-1,IFERROR(VLOOKUP(I51,塔内機器_出力②_DB!$A$4:$L$1123,8,TRUE),-1))</f>
        <v>2640</v>
      </c>
      <c r="AG51" s="118">
        <f t="shared" si="7"/>
        <v>104</v>
      </c>
      <c r="AH51" s="118" t="str">
        <f>IF(B51="","未登録",IFERROR(VLOOKUP(I51,塔内機器_出力②_DB!$A$4:$L$1123,12,TRUE),"未登録"))</f>
        <v>QR収録</v>
      </c>
      <c r="AI51" s="118">
        <f t="shared" si="8"/>
        <v>1</v>
      </c>
      <c r="AJ51" s="118">
        <f t="shared" si="9"/>
        <v>0</v>
      </c>
    </row>
    <row r="52" spans="2:36" ht="18.95" customHeight="1">
      <c r="B52" s="68" t="str">
        <f>IF(塔内機器_入力①!B64="", "", 塔内機器_入力①!B64)</f>
        <v/>
      </c>
      <c r="C52" s="225">
        <f>IF(AND(B52&lt;&gt;"",B53&lt;&gt;""),IF(AA52=0,塔内機器_入力①!E66,0),0)</f>
        <v>0</v>
      </c>
      <c r="D52" s="139"/>
      <c r="E52" s="69" t="str">
        <f t="shared" si="10"/>
        <v/>
      </c>
      <c r="F52" s="70" t="str">
        <f t="shared" si="3"/>
        <v/>
      </c>
      <c r="G52" s="225">
        <f t="shared" si="4"/>
        <v>0</v>
      </c>
      <c r="H52" s="139"/>
      <c r="I52" s="226" t="str">
        <f t="shared" si="5"/>
        <v/>
      </c>
      <c r="J52" s="139"/>
      <c r="K52" s="71" t="str">
        <f>IF(B52="","",IF($Y$15=0,"入力要確認",IF(E52=MAX($E$45:$E$68),"無し",IF(AG52&lt;&gt;$Y$6,"DB未登録",IF(OR(I52&lt;AE52,G52&gt;AF52),"階高範囲外",IF(AI52&lt;&gt;1,"推定DB未確認",VLOOKUP(I52,塔内機器_出力②_DB!$A$4:$L$1123,9,TRUE)))))))</f>
        <v/>
      </c>
      <c r="X52" s="115"/>
      <c r="Y52" s="115"/>
      <c r="Z52" s="118">
        <f>IF($Y$4&lt;&gt;1,0,IFERROR(VLOOKUP(帳票基本入力!C5,塔内機器_入力①_DB!$C$2:$AA$937,9,FALSE),0))</f>
        <v>0</v>
      </c>
      <c r="AA52" s="118">
        <f>IF(AND(B52&lt;&gt;"",B53&lt;&gt;""),1-IFERROR(IF(AND(COUNT(塔内機器_入力①!E66)=1,塔内機器_入力①!E66&gt;0,塔内機器_入力①!E66&lt;=90000,塔内機器_入力①!E66=ROUNDDOWN(塔内機器_入力①!E66,0)),1,0),0),0)</f>
        <v>0</v>
      </c>
      <c r="AB52" s="118">
        <f>IF(AND(B52&lt;&gt;"",B53&lt;&gt;""),0,IF(塔内機器_入力①!E66="",0,1))</f>
        <v>0</v>
      </c>
      <c r="AC52" s="118">
        <f t="shared" si="11"/>
        <v>0</v>
      </c>
      <c r="AD52" s="118">
        <f t="shared" si="6"/>
        <v>0</v>
      </c>
      <c r="AE52" s="118">
        <f>IF(B52="",0,IFERROR(VLOOKUP(I52,塔内機器_出力②_DB!$A$4:$L$1123,1,TRUE),0))</f>
        <v>0</v>
      </c>
      <c r="AF52" s="118">
        <f>IF(B52="",-1,IFERROR(VLOOKUP(I52,塔内機器_出力②_DB!$A$4:$L$1123,8,TRUE),-1))</f>
        <v>-1</v>
      </c>
      <c r="AG52" s="118">
        <f t="shared" si="7"/>
        <v>0</v>
      </c>
      <c r="AH52" s="118" t="str">
        <f>IF(B52="","未登録",IFERROR(VLOOKUP(I52,塔内機器_出力②_DB!$A$4:$L$1123,12,TRUE),"未登録"))</f>
        <v>未登録</v>
      </c>
      <c r="AI52" s="118">
        <f t="shared" si="8"/>
        <v>0</v>
      </c>
      <c r="AJ52" s="118">
        <f t="shared" si="9"/>
        <v>0</v>
      </c>
    </row>
    <row r="53" spans="2:36" ht="18.95" customHeight="1">
      <c r="B53" s="68" t="str">
        <f>IF(塔内機器_入力①!K36="", "", 塔内機器_入力①!K36)</f>
        <v/>
      </c>
      <c r="C53" s="225">
        <f>IF(AND(B53&lt;&gt;"",B54&lt;&gt;""),IF(AA53=0,塔内機器_入力①!N38,0),0)</f>
        <v>0</v>
      </c>
      <c r="D53" s="139"/>
      <c r="E53" s="69" t="str">
        <f t="shared" si="10"/>
        <v/>
      </c>
      <c r="F53" s="70" t="str">
        <f t="shared" si="3"/>
        <v/>
      </c>
      <c r="G53" s="225">
        <f t="shared" si="4"/>
        <v>0</v>
      </c>
      <c r="H53" s="139"/>
      <c r="I53" s="226" t="str">
        <f t="shared" si="5"/>
        <v/>
      </c>
      <c r="J53" s="139"/>
      <c r="K53" s="71" t="str">
        <f>IF(B53="","",IF($Y$15=0,"入力要確認",IF(E53=MAX($E$45:$E$68),"無し",IF(AG53&lt;&gt;$Y$6,"DB未登録",IF(OR(I53&lt;AE53,G53&gt;AF53),"階高範囲外",IF(AI53&lt;&gt;1,"推定DB未確認",VLOOKUP(I53,塔内機器_出力②_DB!$A$4:$L$1123,9,TRUE)))))))</f>
        <v/>
      </c>
      <c r="X53" s="115"/>
      <c r="Y53" s="115"/>
      <c r="Z53" s="118">
        <f>IF($Y$4&lt;&gt;1,0,IFERROR(VLOOKUP(帳票基本入力!C5,塔内機器_入力①_DB!$C$2:$AA$937,10,FALSE),0))</f>
        <v>0</v>
      </c>
      <c r="AA53" s="118">
        <f>IF(AND(B53&lt;&gt;"",B54&lt;&gt;""),1-IFERROR(IF(AND(COUNT(塔内機器_入力①!N38)=1,塔内機器_入力①!N38&gt;0,塔内機器_入力①!N38&lt;=90000,塔内機器_入力①!N38=ROUNDDOWN(塔内機器_入力①!N38,0)),1,0),0),0)</f>
        <v>0</v>
      </c>
      <c r="AB53" s="118">
        <f>IF(AND(B53&lt;&gt;"",B54&lt;&gt;""),0,IF(塔内機器_入力①!N38="",0,1))</f>
        <v>0</v>
      </c>
      <c r="AC53" s="118">
        <f t="shared" si="11"/>
        <v>0</v>
      </c>
      <c r="AD53" s="118">
        <f t="shared" si="6"/>
        <v>0</v>
      </c>
      <c r="AE53" s="118">
        <f>IF(B53="",0,IFERROR(VLOOKUP(I53,塔内機器_出力②_DB!$A$4:$L$1123,1,TRUE),0))</f>
        <v>0</v>
      </c>
      <c r="AF53" s="118">
        <f>IF(B53="",-1,IFERROR(VLOOKUP(I53,塔内機器_出力②_DB!$A$4:$L$1123,8,TRUE),-1))</f>
        <v>-1</v>
      </c>
      <c r="AG53" s="118">
        <f t="shared" si="7"/>
        <v>0</v>
      </c>
      <c r="AH53" s="118" t="str">
        <f>IF(B53="","未登録",IFERROR(VLOOKUP(I53,塔内機器_出力②_DB!$A$4:$L$1123,12,TRUE),"未登録"))</f>
        <v>未登録</v>
      </c>
      <c r="AI53" s="118">
        <f t="shared" si="8"/>
        <v>0</v>
      </c>
      <c r="AJ53" s="118">
        <f t="shared" si="9"/>
        <v>0</v>
      </c>
    </row>
    <row r="54" spans="2:36" ht="18.95" customHeight="1">
      <c r="B54" s="68" t="str">
        <f>IF(塔内機器_入力①!K40="", "", 塔内機器_入力①!K40)</f>
        <v/>
      </c>
      <c r="C54" s="225">
        <f>IF(AND(B54&lt;&gt;"",B55&lt;&gt;""),IF(AA54=0,塔内機器_入力①!N42,0),0)</f>
        <v>0</v>
      </c>
      <c r="D54" s="139"/>
      <c r="E54" s="69" t="str">
        <f t="shared" si="10"/>
        <v/>
      </c>
      <c r="F54" s="70" t="str">
        <f t="shared" si="3"/>
        <v/>
      </c>
      <c r="G54" s="225">
        <f t="shared" si="4"/>
        <v>0</v>
      </c>
      <c r="H54" s="139"/>
      <c r="I54" s="226" t="str">
        <f t="shared" si="5"/>
        <v/>
      </c>
      <c r="J54" s="139"/>
      <c r="K54" s="71" t="str">
        <f>IF(B54="","",IF($Y$15=0,"入力要確認",IF(E54=MAX($E$45:$E$68),"無し",IF(AG54&lt;&gt;$Y$6,"DB未登録",IF(OR(I54&lt;AE54,G54&gt;AF54),"階高範囲外",IF(AI54&lt;&gt;1,"推定DB未確認",VLOOKUP(I54,塔内機器_出力②_DB!$A$4:$L$1123,9,TRUE)))))))</f>
        <v/>
      </c>
      <c r="X54" s="115"/>
      <c r="Y54" s="115"/>
      <c r="Z54" s="118">
        <f>IF($Y$4&lt;&gt;1,0,IFERROR(VLOOKUP(帳票基本入力!C5,塔内機器_入力①_DB!$C$2:$AA$937,11,FALSE),0))</f>
        <v>0</v>
      </c>
      <c r="AA54" s="118">
        <f>IF(AND(B54&lt;&gt;"",B55&lt;&gt;""),1-IFERROR(IF(AND(COUNT(塔内機器_入力①!N42)=1,塔内機器_入力①!N42&gt;0,塔内機器_入力①!N42&lt;=90000,塔内機器_入力①!N42=ROUNDDOWN(塔内機器_入力①!N42,0)),1,0),0),0)</f>
        <v>0</v>
      </c>
      <c r="AB54" s="118">
        <f>IF(AND(B54&lt;&gt;"",B55&lt;&gt;""),0,IF(塔内機器_入力①!N42="",0,1))</f>
        <v>0</v>
      </c>
      <c r="AC54" s="118">
        <f t="shared" si="11"/>
        <v>0</v>
      </c>
      <c r="AD54" s="118">
        <f t="shared" si="6"/>
        <v>0</v>
      </c>
      <c r="AE54" s="118">
        <f>IF(B54="",0,IFERROR(VLOOKUP(I54,塔内機器_出力②_DB!$A$4:$L$1123,1,TRUE),0))</f>
        <v>0</v>
      </c>
      <c r="AF54" s="118">
        <f>IF(B54="",-1,IFERROR(VLOOKUP(I54,塔内機器_出力②_DB!$A$4:$L$1123,8,TRUE),-1))</f>
        <v>-1</v>
      </c>
      <c r="AG54" s="118">
        <f t="shared" si="7"/>
        <v>0</v>
      </c>
      <c r="AH54" s="118" t="str">
        <f>IF(B54="","未登録",IFERROR(VLOOKUP(I54,塔内機器_出力②_DB!$A$4:$L$1123,12,TRUE),"未登録"))</f>
        <v>未登録</v>
      </c>
      <c r="AI54" s="118">
        <f t="shared" si="8"/>
        <v>0</v>
      </c>
      <c r="AJ54" s="118">
        <f t="shared" si="9"/>
        <v>0</v>
      </c>
    </row>
    <row r="55" spans="2:36" ht="18.95" customHeight="1">
      <c r="B55" s="68" t="str">
        <f>IF(塔内機器_入力①!K44="", "", 塔内機器_入力①!K44)</f>
        <v/>
      </c>
      <c r="C55" s="225">
        <f>IF(AND(B55&lt;&gt;"",B56&lt;&gt;""),IF(AA55=0,塔内機器_入力①!N46,0),0)</f>
        <v>0</v>
      </c>
      <c r="D55" s="139"/>
      <c r="E55" s="69" t="str">
        <f t="shared" si="10"/>
        <v/>
      </c>
      <c r="F55" s="70" t="str">
        <f t="shared" si="3"/>
        <v/>
      </c>
      <c r="G55" s="225">
        <f t="shared" si="4"/>
        <v>0</v>
      </c>
      <c r="H55" s="139"/>
      <c r="I55" s="226" t="str">
        <f t="shared" si="5"/>
        <v/>
      </c>
      <c r="J55" s="139"/>
      <c r="K55" s="71" t="str">
        <f>IF(B55="","",IF($Y$15=0,"入力要確認",IF(E55=MAX($E$45:$E$68),"無し",IF(AG55&lt;&gt;$Y$6,"DB未登録",IF(OR(I55&lt;AE55,G55&gt;AF55),"階高範囲外",IF(AI55&lt;&gt;1,"推定DB未確認",VLOOKUP(I55,塔内機器_出力②_DB!$A$4:$L$1123,9,TRUE)))))))</f>
        <v/>
      </c>
      <c r="X55" s="115"/>
      <c r="Y55" s="115"/>
      <c r="Z55" s="118">
        <f>IF($Y$4&lt;&gt;1,0,IFERROR(VLOOKUP(帳票基本入力!C5,塔内機器_入力①_DB!$C$2:$AA$937,12,FALSE),0))</f>
        <v>0</v>
      </c>
      <c r="AA55" s="118">
        <f>IF(AND(B55&lt;&gt;"",B56&lt;&gt;""),1-IFERROR(IF(AND(COUNT(塔内機器_入力①!N46)=1,塔内機器_入力①!N46&gt;0,塔内機器_入力①!N46&lt;=90000,塔内機器_入力①!N46=ROUNDDOWN(塔内機器_入力①!N46,0)),1,0),0),0)</f>
        <v>0</v>
      </c>
      <c r="AB55" s="118">
        <f>IF(AND(B55&lt;&gt;"",B56&lt;&gt;""),0,IF(塔内機器_入力①!N46="",0,1))</f>
        <v>0</v>
      </c>
      <c r="AC55" s="118">
        <f t="shared" si="11"/>
        <v>0</v>
      </c>
      <c r="AD55" s="118">
        <f t="shared" si="6"/>
        <v>0</v>
      </c>
      <c r="AE55" s="118">
        <f>IF(B55="",0,IFERROR(VLOOKUP(I55,塔内機器_出力②_DB!$A$4:$L$1123,1,TRUE),0))</f>
        <v>0</v>
      </c>
      <c r="AF55" s="118">
        <f>IF(B55="",-1,IFERROR(VLOOKUP(I55,塔内機器_出力②_DB!$A$4:$L$1123,8,TRUE),-1))</f>
        <v>-1</v>
      </c>
      <c r="AG55" s="118">
        <f t="shared" si="7"/>
        <v>0</v>
      </c>
      <c r="AH55" s="118" t="str">
        <f>IF(B55="","未登録",IFERROR(VLOOKUP(I55,塔内機器_出力②_DB!$A$4:$L$1123,12,TRUE),"未登録"))</f>
        <v>未登録</v>
      </c>
      <c r="AI55" s="118">
        <f t="shared" si="8"/>
        <v>0</v>
      </c>
      <c r="AJ55" s="118">
        <f t="shared" si="9"/>
        <v>0</v>
      </c>
    </row>
    <row r="56" spans="2:36" ht="18.95" customHeight="1">
      <c r="B56" s="68" t="str">
        <f>IF(塔内機器_入力①!K48="", "", 塔内機器_入力①!K48)</f>
        <v/>
      </c>
      <c r="C56" s="225">
        <f>IF(AND(B56&lt;&gt;"",B57&lt;&gt;""),IF(AA56=0,塔内機器_入力①!N50,0),0)</f>
        <v>0</v>
      </c>
      <c r="D56" s="139"/>
      <c r="E56" s="69" t="str">
        <f t="shared" si="10"/>
        <v/>
      </c>
      <c r="F56" s="70" t="str">
        <f t="shared" si="3"/>
        <v/>
      </c>
      <c r="G56" s="225">
        <f t="shared" si="4"/>
        <v>0</v>
      </c>
      <c r="H56" s="139"/>
      <c r="I56" s="226" t="str">
        <f t="shared" si="5"/>
        <v/>
      </c>
      <c r="J56" s="139"/>
      <c r="K56" s="71" t="str">
        <f>IF(B56="","",IF($Y$15=0,"入力要確認",IF(E56=MAX($E$45:$E$68),"無し",IF(AG56&lt;&gt;$Y$6,"DB未登録",IF(OR(I56&lt;AE56,G56&gt;AF56),"階高範囲外",IF(AI56&lt;&gt;1,"推定DB未確認",VLOOKUP(I56,塔内機器_出力②_DB!$A$4:$L$1123,9,TRUE)))))))</f>
        <v/>
      </c>
      <c r="X56" s="115"/>
      <c r="Y56" s="115"/>
      <c r="Z56" s="118">
        <f>IF($Y$4&lt;&gt;1,0,IFERROR(VLOOKUP(帳票基本入力!C5,塔内機器_入力①_DB!$C$2:$AA$937,13,FALSE),0))</f>
        <v>0</v>
      </c>
      <c r="AA56" s="118">
        <f>IF(AND(B56&lt;&gt;"",B57&lt;&gt;""),1-IFERROR(IF(AND(COUNT(塔内機器_入力①!N50)=1,塔内機器_入力①!N50&gt;0,塔内機器_入力①!N50&lt;=90000,塔内機器_入力①!N50=ROUNDDOWN(塔内機器_入力①!N50,0)),1,0),0),0)</f>
        <v>0</v>
      </c>
      <c r="AB56" s="118">
        <f>IF(AND(B56&lt;&gt;"",B57&lt;&gt;""),0,IF(塔内機器_入力①!N50="",0,1))</f>
        <v>0</v>
      </c>
      <c r="AC56" s="118">
        <f t="shared" si="11"/>
        <v>0</v>
      </c>
      <c r="AD56" s="118">
        <f t="shared" si="6"/>
        <v>0</v>
      </c>
      <c r="AE56" s="118">
        <f>IF(B56="",0,IFERROR(VLOOKUP(I56,塔内機器_出力②_DB!$A$4:$L$1123,1,TRUE),0))</f>
        <v>0</v>
      </c>
      <c r="AF56" s="118">
        <f>IF(B56="",-1,IFERROR(VLOOKUP(I56,塔内機器_出力②_DB!$A$4:$L$1123,8,TRUE),-1))</f>
        <v>-1</v>
      </c>
      <c r="AG56" s="118">
        <f t="shared" si="7"/>
        <v>0</v>
      </c>
      <c r="AH56" s="118" t="str">
        <f>IF(B56="","未登録",IFERROR(VLOOKUP(I56,塔内機器_出力②_DB!$A$4:$L$1123,12,TRUE),"未登録"))</f>
        <v>未登録</v>
      </c>
      <c r="AI56" s="118">
        <f t="shared" si="8"/>
        <v>0</v>
      </c>
      <c r="AJ56" s="118">
        <f t="shared" si="9"/>
        <v>0</v>
      </c>
    </row>
    <row r="57" spans="2:36" ht="18.95" customHeight="1">
      <c r="B57" s="68" t="str">
        <f>IF(塔内機器_入力①!K52="", "", 塔内機器_入力①!K52)</f>
        <v/>
      </c>
      <c r="C57" s="225">
        <f>IF(AND(B57&lt;&gt;"",B58&lt;&gt;""),IF(AA57=0,塔内機器_入力①!N54,0),0)</f>
        <v>0</v>
      </c>
      <c r="D57" s="139"/>
      <c r="E57" s="69" t="str">
        <f t="shared" si="10"/>
        <v/>
      </c>
      <c r="F57" s="70" t="str">
        <f t="shared" si="3"/>
        <v/>
      </c>
      <c r="G57" s="225">
        <f t="shared" si="4"/>
        <v>0</v>
      </c>
      <c r="H57" s="139"/>
      <c r="I57" s="226" t="str">
        <f t="shared" si="5"/>
        <v/>
      </c>
      <c r="J57" s="139"/>
      <c r="K57" s="71" t="str">
        <f>IF(B57="","",IF($Y$15=0,"入力要確認",IF(E57=MAX($E$45:$E$68),"無し",IF(AG57&lt;&gt;$Y$6,"DB未登録",IF(OR(I57&lt;AE57,G57&gt;AF57),"階高範囲外",IF(AI57&lt;&gt;1,"推定DB未確認",VLOOKUP(I57,塔内機器_出力②_DB!$A$4:$L$1123,9,TRUE)))))))</f>
        <v/>
      </c>
      <c r="X57" s="115"/>
      <c r="Y57" s="115"/>
      <c r="Z57" s="118">
        <f>IF($Y$4&lt;&gt;1,0,IFERROR(VLOOKUP(帳票基本入力!C5,塔内機器_入力①_DB!$C$2:$AA$937,14,FALSE),0))</f>
        <v>0</v>
      </c>
      <c r="AA57" s="118">
        <f>IF(AND(B57&lt;&gt;"",B58&lt;&gt;""),1-IFERROR(IF(AND(COUNT(塔内機器_入力①!N54)=1,塔内機器_入力①!N54&gt;0,塔内機器_入力①!N54&lt;=90000,塔内機器_入力①!N54=ROUNDDOWN(塔内機器_入力①!N54,0)),1,0),0),0)</f>
        <v>0</v>
      </c>
      <c r="AB57" s="118">
        <f>IF(AND(B57&lt;&gt;"",B58&lt;&gt;""),0,IF(塔内機器_入力①!N54="",0,1))</f>
        <v>0</v>
      </c>
      <c r="AC57" s="118">
        <f t="shared" si="11"/>
        <v>0</v>
      </c>
      <c r="AD57" s="118">
        <f t="shared" si="6"/>
        <v>0</v>
      </c>
      <c r="AE57" s="118">
        <f>IF(B57="",0,IFERROR(VLOOKUP(I57,塔内機器_出力②_DB!$A$4:$L$1123,1,TRUE),0))</f>
        <v>0</v>
      </c>
      <c r="AF57" s="118">
        <f>IF(B57="",-1,IFERROR(VLOOKUP(I57,塔内機器_出力②_DB!$A$4:$L$1123,8,TRUE),-1))</f>
        <v>-1</v>
      </c>
      <c r="AG57" s="118">
        <f t="shared" si="7"/>
        <v>0</v>
      </c>
      <c r="AH57" s="118" t="str">
        <f>IF(B57="","未登録",IFERROR(VLOOKUP(I57,塔内機器_出力②_DB!$A$4:$L$1123,12,TRUE),"未登録"))</f>
        <v>未登録</v>
      </c>
      <c r="AI57" s="118">
        <f t="shared" si="8"/>
        <v>0</v>
      </c>
      <c r="AJ57" s="118">
        <f t="shared" si="9"/>
        <v>0</v>
      </c>
    </row>
    <row r="58" spans="2:36" ht="18.95" customHeight="1">
      <c r="B58" s="68" t="str">
        <f>IF(塔内機器_入力①!K56="", "", 塔内機器_入力①!K56)</f>
        <v/>
      </c>
      <c r="C58" s="225">
        <f>IF(AND(B58&lt;&gt;"",B59&lt;&gt;""),IF(AA58=0,塔内機器_入力①!N58,0),0)</f>
        <v>0</v>
      </c>
      <c r="D58" s="139"/>
      <c r="E58" s="69" t="str">
        <f t="shared" si="10"/>
        <v/>
      </c>
      <c r="F58" s="70" t="str">
        <f t="shared" si="3"/>
        <v/>
      </c>
      <c r="G58" s="225">
        <f t="shared" si="4"/>
        <v>0</v>
      </c>
      <c r="H58" s="139"/>
      <c r="I58" s="226" t="str">
        <f t="shared" si="5"/>
        <v/>
      </c>
      <c r="J58" s="139"/>
      <c r="K58" s="71" t="str">
        <f>IF(B58="","",IF($Y$15=0,"入力要確認",IF(E58=MAX($E$45:$E$68),"無し",IF(AG58&lt;&gt;$Y$6,"DB未登録",IF(OR(I58&lt;AE58,G58&gt;AF58),"階高範囲外",IF(AI58&lt;&gt;1,"推定DB未確認",VLOOKUP(I58,塔内機器_出力②_DB!$A$4:$L$1123,9,TRUE)))))))</f>
        <v/>
      </c>
      <c r="X58" s="115"/>
      <c r="Y58" s="115"/>
      <c r="Z58" s="118">
        <f>IF($Y$4&lt;&gt;1,0,IFERROR(VLOOKUP(帳票基本入力!C5,塔内機器_入力①_DB!$C$2:$AA$937,15,FALSE),0))</f>
        <v>0</v>
      </c>
      <c r="AA58" s="118">
        <f>IF(AND(B58&lt;&gt;"",B59&lt;&gt;""),1-IFERROR(IF(AND(COUNT(塔内機器_入力①!N58)=1,塔内機器_入力①!N58&gt;0,塔内機器_入力①!N58&lt;=90000,塔内機器_入力①!N58=ROUNDDOWN(塔内機器_入力①!N58,0)),1,0),0),0)</f>
        <v>0</v>
      </c>
      <c r="AB58" s="118">
        <f>IF(AND(B58&lt;&gt;"",B59&lt;&gt;""),0,IF(塔内機器_入力①!N58="",0,1))</f>
        <v>0</v>
      </c>
      <c r="AC58" s="118">
        <f t="shared" si="11"/>
        <v>0</v>
      </c>
      <c r="AD58" s="118">
        <f t="shared" si="6"/>
        <v>0</v>
      </c>
      <c r="AE58" s="118">
        <f>IF(B58="",0,IFERROR(VLOOKUP(I58,塔内機器_出力②_DB!$A$4:$L$1123,1,TRUE),0))</f>
        <v>0</v>
      </c>
      <c r="AF58" s="118">
        <f>IF(B58="",-1,IFERROR(VLOOKUP(I58,塔内機器_出力②_DB!$A$4:$L$1123,8,TRUE),-1))</f>
        <v>-1</v>
      </c>
      <c r="AG58" s="118">
        <f t="shared" si="7"/>
        <v>0</v>
      </c>
      <c r="AH58" s="118" t="str">
        <f>IF(B58="","未登録",IFERROR(VLOOKUP(I58,塔内機器_出力②_DB!$A$4:$L$1123,12,TRUE),"未登録"))</f>
        <v>未登録</v>
      </c>
      <c r="AI58" s="118">
        <f t="shared" si="8"/>
        <v>0</v>
      </c>
      <c r="AJ58" s="118">
        <f t="shared" si="9"/>
        <v>0</v>
      </c>
    </row>
    <row r="59" spans="2:36" ht="18.95" customHeight="1">
      <c r="B59" s="68" t="str">
        <f>IF(塔内機器_入力①!K60="", "", 塔内機器_入力①!K60)</f>
        <v/>
      </c>
      <c r="C59" s="225">
        <f>IF(AND(B59&lt;&gt;"",B60&lt;&gt;""),IF(AA59=0,塔内機器_入力①!N62,0),0)</f>
        <v>0</v>
      </c>
      <c r="D59" s="139"/>
      <c r="E59" s="69" t="str">
        <f t="shared" si="10"/>
        <v/>
      </c>
      <c r="F59" s="70" t="str">
        <f t="shared" si="3"/>
        <v/>
      </c>
      <c r="G59" s="225">
        <f t="shared" si="4"/>
        <v>0</v>
      </c>
      <c r="H59" s="139"/>
      <c r="I59" s="226" t="str">
        <f t="shared" si="5"/>
        <v/>
      </c>
      <c r="J59" s="139"/>
      <c r="K59" s="71" t="str">
        <f>IF(B59="","",IF($Y$15=0,"入力要確認",IF(E59=MAX($E$45:$E$68),"無し",IF(AG59&lt;&gt;$Y$6,"DB未登録",IF(OR(I59&lt;AE59,G59&gt;AF59),"階高範囲外",IF(AI59&lt;&gt;1,"推定DB未確認",VLOOKUP(I59,塔内機器_出力②_DB!$A$4:$L$1123,9,TRUE)))))))</f>
        <v/>
      </c>
      <c r="X59" s="115"/>
      <c r="Y59" s="115"/>
      <c r="Z59" s="118">
        <f>IF($Y$4&lt;&gt;1,0,IFERROR(VLOOKUP(帳票基本入力!C5,塔内機器_入力①_DB!$C$2:$AA$937,16,FALSE),0))</f>
        <v>0</v>
      </c>
      <c r="AA59" s="118">
        <f>IF(AND(B59&lt;&gt;"",B60&lt;&gt;""),1-IFERROR(IF(AND(COUNT(塔内機器_入力①!N62)=1,塔内機器_入力①!N62&gt;0,塔内機器_入力①!N62&lt;=90000,塔内機器_入力①!N62=ROUNDDOWN(塔内機器_入力①!N62,0)),1,0),0),0)</f>
        <v>0</v>
      </c>
      <c r="AB59" s="118">
        <f>IF(AND(B59&lt;&gt;"",B60&lt;&gt;""),0,IF(塔内機器_入力①!N62="",0,1))</f>
        <v>0</v>
      </c>
      <c r="AC59" s="118">
        <f t="shared" si="11"/>
        <v>0</v>
      </c>
      <c r="AD59" s="118">
        <f t="shared" si="6"/>
        <v>0</v>
      </c>
      <c r="AE59" s="118">
        <f>IF(B59="",0,IFERROR(VLOOKUP(I59,塔内機器_出力②_DB!$A$4:$L$1123,1,TRUE),0))</f>
        <v>0</v>
      </c>
      <c r="AF59" s="118">
        <f>IF(B59="",-1,IFERROR(VLOOKUP(I59,塔内機器_出力②_DB!$A$4:$L$1123,8,TRUE),-1))</f>
        <v>-1</v>
      </c>
      <c r="AG59" s="118">
        <f t="shared" si="7"/>
        <v>0</v>
      </c>
      <c r="AH59" s="118" t="str">
        <f>IF(B59="","未登録",IFERROR(VLOOKUP(I59,塔内機器_出力②_DB!$A$4:$L$1123,12,TRUE),"未登録"))</f>
        <v>未登録</v>
      </c>
      <c r="AI59" s="118">
        <f t="shared" si="8"/>
        <v>0</v>
      </c>
      <c r="AJ59" s="118">
        <f t="shared" si="9"/>
        <v>0</v>
      </c>
    </row>
    <row r="60" spans="2:36" ht="18.95" customHeight="1">
      <c r="B60" s="68" t="str">
        <f>IF(塔内機器_入力①!K64="", "", 塔内機器_入力①!K64)</f>
        <v/>
      </c>
      <c r="C60" s="225">
        <f>IF(AND(B60&lt;&gt;"",B61&lt;&gt;""),IF(AA60=0,塔内機器_入力①!N66,0),0)</f>
        <v>0</v>
      </c>
      <c r="D60" s="139"/>
      <c r="E60" s="69" t="str">
        <f t="shared" si="10"/>
        <v/>
      </c>
      <c r="F60" s="70" t="str">
        <f t="shared" si="3"/>
        <v/>
      </c>
      <c r="G60" s="225">
        <f t="shared" si="4"/>
        <v>0</v>
      </c>
      <c r="H60" s="139"/>
      <c r="I60" s="226" t="str">
        <f t="shared" si="5"/>
        <v/>
      </c>
      <c r="J60" s="139"/>
      <c r="K60" s="71" t="str">
        <f>IF(B60="","",IF($Y$15=0,"入力要確認",IF(E60=MAX($E$45:$E$68),"無し",IF(AG60&lt;&gt;$Y$6,"DB未登録",IF(OR(I60&lt;AE60,G60&gt;AF60),"階高範囲外",IF(AI60&lt;&gt;1,"推定DB未確認",VLOOKUP(I60,塔内機器_出力②_DB!$A$4:$L$1123,9,TRUE)))))))</f>
        <v/>
      </c>
      <c r="X60" s="115"/>
      <c r="Y60" s="115"/>
      <c r="Z60" s="118">
        <f>IF($Y$4&lt;&gt;1,0,IFERROR(VLOOKUP(帳票基本入力!C5,塔内機器_入力①_DB!$C$2:$AA$937,17,FALSE),0))</f>
        <v>0</v>
      </c>
      <c r="AA60" s="118">
        <f>IF(AND(B60&lt;&gt;"",B61&lt;&gt;""),1-IFERROR(IF(AND(COUNT(塔内機器_入力①!N66)=1,塔内機器_入力①!N66&gt;0,塔内機器_入力①!N66&lt;=90000,塔内機器_入力①!N66=ROUNDDOWN(塔内機器_入力①!N66,0)),1,0),0),0)</f>
        <v>0</v>
      </c>
      <c r="AB60" s="118">
        <f>IF(AND(B60&lt;&gt;"",B61&lt;&gt;""),0,IF(塔内機器_入力①!N66="",0,1))</f>
        <v>0</v>
      </c>
      <c r="AC60" s="118">
        <f t="shared" si="11"/>
        <v>0</v>
      </c>
      <c r="AD60" s="118">
        <f t="shared" si="6"/>
        <v>0</v>
      </c>
      <c r="AE60" s="118">
        <f>IF(B60="",0,IFERROR(VLOOKUP(I60,塔内機器_出力②_DB!$A$4:$L$1123,1,TRUE),0))</f>
        <v>0</v>
      </c>
      <c r="AF60" s="118">
        <f>IF(B60="",-1,IFERROR(VLOOKUP(I60,塔内機器_出力②_DB!$A$4:$L$1123,8,TRUE),-1))</f>
        <v>-1</v>
      </c>
      <c r="AG60" s="118">
        <f t="shared" si="7"/>
        <v>0</v>
      </c>
      <c r="AH60" s="118" t="str">
        <f>IF(B60="","未登録",IFERROR(VLOOKUP(I60,塔内機器_出力②_DB!$A$4:$L$1123,12,TRUE),"未登録"))</f>
        <v>未登録</v>
      </c>
      <c r="AI60" s="118">
        <f t="shared" si="8"/>
        <v>0</v>
      </c>
      <c r="AJ60" s="118">
        <f t="shared" si="9"/>
        <v>0</v>
      </c>
    </row>
    <row r="61" spans="2:36" ht="18.95" customHeight="1">
      <c r="B61" s="68" t="str">
        <f>IF(塔内機器_入力①!T36="", "", 塔内機器_入力①!T36)</f>
        <v/>
      </c>
      <c r="C61" s="225">
        <f>IF(AND(B61&lt;&gt;"",B62&lt;&gt;""),IF(AA61=0,塔内機器_入力①!W38,0),0)</f>
        <v>0</v>
      </c>
      <c r="D61" s="139"/>
      <c r="E61" s="69" t="str">
        <f t="shared" si="10"/>
        <v/>
      </c>
      <c r="F61" s="70" t="str">
        <f t="shared" si="3"/>
        <v/>
      </c>
      <c r="G61" s="225">
        <f t="shared" si="4"/>
        <v>0</v>
      </c>
      <c r="H61" s="139"/>
      <c r="I61" s="226" t="str">
        <f t="shared" si="5"/>
        <v/>
      </c>
      <c r="J61" s="139"/>
      <c r="K61" s="71" t="str">
        <f>IF(B61="","",IF($Y$15=0,"入力要確認",IF(E61=MAX($E$45:$E$68),"無し",IF(AG61&lt;&gt;$Y$6,"DB未登録",IF(OR(I61&lt;AE61,G61&gt;AF61),"階高範囲外",IF(AI61&lt;&gt;1,"推定DB未確認",VLOOKUP(I61,塔内機器_出力②_DB!$A$4:$L$1123,9,TRUE)))))))</f>
        <v/>
      </c>
      <c r="X61" s="115"/>
      <c r="Y61" s="115"/>
      <c r="Z61" s="118">
        <f>IF($Y$4&lt;&gt;1,0,IFERROR(VLOOKUP(帳票基本入力!C5,塔内機器_入力①_DB!$C$2:$AA$937,18,FALSE),0))</f>
        <v>0</v>
      </c>
      <c r="AA61" s="118">
        <f>IF(AND(B61&lt;&gt;"",B62&lt;&gt;""),1-IFERROR(IF(AND(COUNT(塔内機器_入力①!W38)=1,塔内機器_入力①!W38&gt;0,塔内機器_入力①!W38&lt;=90000,塔内機器_入力①!W38=ROUNDDOWN(塔内機器_入力①!W38,0)),1,0),0),0)</f>
        <v>0</v>
      </c>
      <c r="AB61" s="118">
        <f>IF(AND(B61&lt;&gt;"",B62&lt;&gt;""),0,IF(塔内機器_入力①!W38="",0,1))</f>
        <v>0</v>
      </c>
      <c r="AC61" s="118">
        <f t="shared" si="11"/>
        <v>0</v>
      </c>
      <c r="AD61" s="118">
        <f t="shared" si="6"/>
        <v>0</v>
      </c>
      <c r="AE61" s="118">
        <f>IF(B61="",0,IFERROR(VLOOKUP(I61,塔内機器_出力②_DB!$A$4:$L$1123,1,TRUE),0))</f>
        <v>0</v>
      </c>
      <c r="AF61" s="118">
        <f>IF(B61="",-1,IFERROR(VLOOKUP(I61,塔内機器_出力②_DB!$A$4:$L$1123,8,TRUE),-1))</f>
        <v>-1</v>
      </c>
      <c r="AG61" s="118">
        <f t="shared" si="7"/>
        <v>0</v>
      </c>
      <c r="AH61" s="118" t="str">
        <f>IF(B61="","未登録",IFERROR(VLOOKUP(I61,塔内機器_出力②_DB!$A$4:$L$1123,12,TRUE),"未登録"))</f>
        <v>未登録</v>
      </c>
      <c r="AI61" s="118">
        <f t="shared" si="8"/>
        <v>0</v>
      </c>
      <c r="AJ61" s="118">
        <f t="shared" si="9"/>
        <v>0</v>
      </c>
    </row>
    <row r="62" spans="2:36" ht="18.95" customHeight="1">
      <c r="B62" s="68" t="str">
        <f>IF(塔内機器_入力①!T40="", "", 塔内機器_入力①!T40)</f>
        <v/>
      </c>
      <c r="C62" s="225">
        <f>IF(AND(B62&lt;&gt;"",B63&lt;&gt;""),IF(AA62=0,塔内機器_入力①!W42,0),0)</f>
        <v>0</v>
      </c>
      <c r="D62" s="139"/>
      <c r="E62" s="69" t="str">
        <f t="shared" si="10"/>
        <v/>
      </c>
      <c r="F62" s="70" t="str">
        <f t="shared" si="3"/>
        <v/>
      </c>
      <c r="G62" s="225">
        <f t="shared" si="4"/>
        <v>0</v>
      </c>
      <c r="H62" s="139"/>
      <c r="I62" s="226" t="str">
        <f t="shared" si="5"/>
        <v/>
      </c>
      <c r="J62" s="139"/>
      <c r="K62" s="71" t="str">
        <f>IF(B62="","",IF($Y$15=0,"入力要確認",IF(E62=MAX($E$45:$E$68),"無し",IF(AG62&lt;&gt;$Y$6,"DB未登録",IF(OR(I62&lt;AE62,G62&gt;AF62),"階高範囲外",IF(AI62&lt;&gt;1,"推定DB未確認",VLOOKUP(I62,塔内機器_出力②_DB!$A$4:$L$1123,9,TRUE)))))))</f>
        <v/>
      </c>
      <c r="X62" s="115"/>
      <c r="Y62" s="115"/>
      <c r="Z62" s="118">
        <f>IF($Y$4&lt;&gt;1,0,IFERROR(VLOOKUP(帳票基本入力!C5,塔内機器_入力①_DB!$C$2:$AA$937,19,FALSE),0))</f>
        <v>0</v>
      </c>
      <c r="AA62" s="118">
        <f>IF(AND(B62&lt;&gt;"",B63&lt;&gt;""),1-IFERROR(IF(AND(COUNT(塔内機器_入力①!W42)=1,塔内機器_入力①!W42&gt;0,塔内機器_入力①!W42&lt;=90000,塔内機器_入力①!W42=ROUNDDOWN(塔内機器_入力①!W42,0)),1,0),0),0)</f>
        <v>0</v>
      </c>
      <c r="AB62" s="118">
        <f>IF(AND(B62&lt;&gt;"",B63&lt;&gt;""),0,IF(塔内機器_入力①!W42="",0,1))</f>
        <v>0</v>
      </c>
      <c r="AC62" s="118">
        <f t="shared" si="11"/>
        <v>0</v>
      </c>
      <c r="AD62" s="118">
        <f t="shared" si="6"/>
        <v>0</v>
      </c>
      <c r="AE62" s="118">
        <f>IF(B62="",0,IFERROR(VLOOKUP(I62,塔内機器_出力②_DB!$A$4:$L$1123,1,TRUE),0))</f>
        <v>0</v>
      </c>
      <c r="AF62" s="118">
        <f>IF(B62="",-1,IFERROR(VLOOKUP(I62,塔内機器_出力②_DB!$A$4:$L$1123,8,TRUE),-1))</f>
        <v>-1</v>
      </c>
      <c r="AG62" s="118">
        <f t="shared" si="7"/>
        <v>0</v>
      </c>
      <c r="AH62" s="118" t="str">
        <f>IF(B62="","未登録",IFERROR(VLOOKUP(I62,塔内機器_出力②_DB!$A$4:$L$1123,12,TRUE),"未登録"))</f>
        <v>未登録</v>
      </c>
      <c r="AI62" s="118">
        <f t="shared" si="8"/>
        <v>0</v>
      </c>
      <c r="AJ62" s="118">
        <f t="shared" si="9"/>
        <v>0</v>
      </c>
    </row>
    <row r="63" spans="2:36" ht="18.95" customHeight="1">
      <c r="B63" s="68" t="str">
        <f>IF(塔内機器_入力①!T44="", "", 塔内機器_入力①!T44)</f>
        <v/>
      </c>
      <c r="C63" s="225">
        <f>IF(AND(B63&lt;&gt;"",B64&lt;&gt;""),IF(AA63=0,塔内機器_入力①!W46,0),0)</f>
        <v>0</v>
      </c>
      <c r="D63" s="139"/>
      <c r="E63" s="69" t="str">
        <f t="shared" si="10"/>
        <v/>
      </c>
      <c r="F63" s="70" t="str">
        <f t="shared" si="3"/>
        <v/>
      </c>
      <c r="G63" s="225">
        <f t="shared" si="4"/>
        <v>0</v>
      </c>
      <c r="H63" s="139"/>
      <c r="I63" s="226" t="str">
        <f t="shared" si="5"/>
        <v/>
      </c>
      <c r="J63" s="139"/>
      <c r="K63" s="71" t="str">
        <f>IF(B63="","",IF($Y$15=0,"入力要確認",IF(E63=MAX($E$45:$E$68),"無し",IF(AG63&lt;&gt;$Y$6,"DB未登録",IF(OR(I63&lt;AE63,G63&gt;AF63),"階高範囲外",IF(AI63&lt;&gt;1,"推定DB未確認",VLOOKUP(I63,塔内機器_出力②_DB!$A$4:$L$1123,9,TRUE)))))))</f>
        <v/>
      </c>
      <c r="X63" s="115"/>
      <c r="Y63" s="115"/>
      <c r="Z63" s="118">
        <f>IF($Y$4&lt;&gt;1,0,IFERROR(VLOOKUP(帳票基本入力!C5,塔内機器_入力①_DB!$C$2:$AA$937,20,FALSE),0))</f>
        <v>0</v>
      </c>
      <c r="AA63" s="118">
        <f>IF(AND(B63&lt;&gt;"",B64&lt;&gt;""),1-IFERROR(IF(AND(COUNT(塔内機器_入力①!W46)=1,塔内機器_入力①!W46&gt;0,塔内機器_入力①!W46&lt;=90000,塔内機器_入力①!W46=ROUNDDOWN(塔内機器_入力①!W46,0)),1,0),0),0)</f>
        <v>0</v>
      </c>
      <c r="AB63" s="118">
        <f>IF(AND(B63&lt;&gt;"",B64&lt;&gt;""),0,IF(塔内機器_入力①!W46="",0,1))</f>
        <v>0</v>
      </c>
      <c r="AC63" s="118">
        <f t="shared" si="11"/>
        <v>0</v>
      </c>
      <c r="AD63" s="118">
        <f t="shared" si="6"/>
        <v>0</v>
      </c>
      <c r="AE63" s="118">
        <f>IF(B63="",0,IFERROR(VLOOKUP(I63,塔内機器_出力②_DB!$A$4:$L$1123,1,TRUE),0))</f>
        <v>0</v>
      </c>
      <c r="AF63" s="118">
        <f>IF(B63="",-1,IFERROR(VLOOKUP(I63,塔内機器_出力②_DB!$A$4:$L$1123,8,TRUE),-1))</f>
        <v>-1</v>
      </c>
      <c r="AG63" s="118">
        <f t="shared" si="7"/>
        <v>0</v>
      </c>
      <c r="AH63" s="118" t="str">
        <f>IF(B63="","未登録",IFERROR(VLOOKUP(I63,塔内機器_出力②_DB!$A$4:$L$1123,12,TRUE),"未登録"))</f>
        <v>未登録</v>
      </c>
      <c r="AI63" s="118">
        <f t="shared" si="8"/>
        <v>0</v>
      </c>
      <c r="AJ63" s="118">
        <f t="shared" si="9"/>
        <v>0</v>
      </c>
    </row>
    <row r="64" spans="2:36" ht="18.95" customHeight="1">
      <c r="B64" s="68" t="str">
        <f>IF(塔内機器_入力①!T48="", "", 塔内機器_入力①!T48)</f>
        <v/>
      </c>
      <c r="C64" s="227">
        <f>IF(AND(B64&lt;&gt;"",B65&lt;&gt;""),IF(AA64=0,塔内機器_入力①!W50,0),0)</f>
        <v>0</v>
      </c>
      <c r="D64" s="139"/>
      <c r="E64" s="69" t="str">
        <f>IF(B64="","",SUM($AD$45:AD64)-COUNTIF($B$45:B64,"N"))</f>
        <v/>
      </c>
      <c r="F64" s="70" t="str">
        <f t="shared" si="3"/>
        <v/>
      </c>
      <c r="G64" s="225">
        <f t="shared" si="4"/>
        <v>0</v>
      </c>
      <c r="H64" s="139"/>
      <c r="I64" s="228" t="str">
        <f t="shared" si="5"/>
        <v/>
      </c>
      <c r="J64" s="139"/>
      <c r="K64" s="71" t="str">
        <f>IF(B64="","",IF($Y$15=0,"入力要確認",IF(E64=MAX($E$45:$E$68),"無し",IF(AG64&lt;&gt;$Y$6,"DB未登録",IF(OR(I64&lt;AE64,G64&gt;AF64),"階高範囲外",IF(AI64&lt;&gt;1,"推定DB未確認",VLOOKUP(I64,塔内機器_出力②_DB!$A$4:$L$1123,9,TRUE)))))))</f>
        <v/>
      </c>
      <c r="X64" s="115"/>
      <c r="Y64" s="115"/>
      <c r="Z64" s="118">
        <f>IF($Y$4&lt;&gt;1,0,IFERROR(VLOOKUP(帳票基本入力!C5,塔内機器_入力①_DB!$C$2:$AA$937,21,FALSE),0))</f>
        <v>0</v>
      </c>
      <c r="AA64" s="118">
        <f>IF(AND(B64&lt;&gt;"",B65&lt;&gt;""),1-IFERROR(IF(AND(COUNT(塔内機器_入力①!W50)=1,塔内機器_入力①!W50&gt;0,塔内機器_入力①!W50&lt;=90000,塔内機器_入力①!W50=ROUNDDOWN(塔内機器_入力①!W50,0)),1,0),0),0)</f>
        <v>0</v>
      </c>
      <c r="AB64" s="118">
        <f>IF(AND(B64&lt;&gt;"",B65&lt;&gt;""),0,IF(塔内機器_入力①!W50="",0,1))</f>
        <v>0</v>
      </c>
      <c r="AC64" s="118">
        <f t="shared" si="11"/>
        <v>0</v>
      </c>
      <c r="AD64" s="118">
        <f t="shared" si="6"/>
        <v>0</v>
      </c>
      <c r="AE64" s="118">
        <f>IF(B64="",0,IFERROR(VLOOKUP(I64,塔内機器_出力②_DB!$A$4:$L$1123,1,TRUE),0))</f>
        <v>0</v>
      </c>
      <c r="AF64" s="118">
        <f>IF(B64="",-1,IFERROR(VLOOKUP(I64,塔内機器_出力②_DB!$A$4:$L$1123,8,TRUE),-1))</f>
        <v>-1</v>
      </c>
      <c r="AG64" s="118">
        <f t="shared" si="7"/>
        <v>0</v>
      </c>
      <c r="AH64" s="118" t="str">
        <f>IF(B64="","未登録",IFERROR(VLOOKUP(I64,塔内機器_出力②_DB!$A$4:$L$1123,12,TRUE),"未登録"))</f>
        <v>未登録</v>
      </c>
      <c r="AI64" s="118">
        <f t="shared" si="8"/>
        <v>0</v>
      </c>
      <c r="AJ64" s="118">
        <f t="shared" si="9"/>
        <v>0</v>
      </c>
    </row>
    <row r="65" spans="2:36" ht="18.95" customHeight="1">
      <c r="B65" s="68" t="str">
        <f>IF(塔内機器_入力①!T52="", "", 塔内機器_入力①!T52)</f>
        <v/>
      </c>
      <c r="C65" s="227">
        <f>IF(AND(B65&lt;&gt;"",B66&lt;&gt;""),IF(AA65=0,塔内機器_入力①!W54,0),0)</f>
        <v>0</v>
      </c>
      <c r="D65" s="139"/>
      <c r="E65" s="69" t="str">
        <f>IF(B65="","",SUM($AD$45:AD65)-COUNTIF($B$45:B65,"N"))</f>
        <v/>
      </c>
      <c r="F65" s="70" t="str">
        <f t="shared" si="3"/>
        <v/>
      </c>
      <c r="G65" s="225">
        <f t="shared" si="4"/>
        <v>0</v>
      </c>
      <c r="H65" s="139"/>
      <c r="I65" s="228" t="str">
        <f t="shared" si="5"/>
        <v/>
      </c>
      <c r="J65" s="139"/>
      <c r="K65" s="71" t="str">
        <f>IF(B65="","",IF($Y$15=0,"入力要確認",IF(E65=MAX($E$45:$E$68),"無し",IF(AG65&lt;&gt;$Y$6,"DB未登録",IF(OR(I65&lt;AE65,G65&gt;AF65),"階高範囲外",IF(AI65&lt;&gt;1,"推定DB未確認",VLOOKUP(I65,塔内機器_出力②_DB!$A$4:$L$1123,9,TRUE)))))))</f>
        <v/>
      </c>
      <c r="X65" s="115"/>
      <c r="Y65" s="115"/>
      <c r="Z65" s="118">
        <f>IF($Y$4&lt;&gt;1,0,IFERROR(VLOOKUP(帳票基本入力!C5,塔内機器_入力①_DB!$C$2:$AA$937,22,FALSE),0))</f>
        <v>0</v>
      </c>
      <c r="AA65" s="118">
        <f>IF(AND(B65&lt;&gt;"",B66&lt;&gt;""),1-IFERROR(IF(AND(COUNT(塔内機器_入力①!W54)=1,塔内機器_入力①!W54&gt;0,塔内機器_入力①!W54&lt;=90000,塔内機器_入力①!W54=ROUNDDOWN(塔内機器_入力①!W54,0)),1,0),0),0)</f>
        <v>0</v>
      </c>
      <c r="AB65" s="118">
        <f>IF(AND(B65&lt;&gt;"",B66&lt;&gt;""),0,IF(塔内機器_入力①!W54="",0,1))</f>
        <v>0</v>
      </c>
      <c r="AC65" s="118">
        <f t="shared" si="11"/>
        <v>0</v>
      </c>
      <c r="AD65" s="118">
        <f t="shared" si="6"/>
        <v>0</v>
      </c>
      <c r="AE65" s="118">
        <f>IF(B65="",0,IFERROR(VLOOKUP(I65,塔内機器_出力②_DB!$A$4:$L$1123,1,TRUE),0))</f>
        <v>0</v>
      </c>
      <c r="AF65" s="118">
        <f>IF(B65="",-1,IFERROR(VLOOKUP(I65,塔内機器_出力②_DB!$A$4:$L$1123,8,TRUE),-1))</f>
        <v>-1</v>
      </c>
      <c r="AG65" s="118">
        <f t="shared" si="7"/>
        <v>0</v>
      </c>
      <c r="AH65" s="118" t="str">
        <f>IF(B65="","未登録",IFERROR(VLOOKUP(I65,塔内機器_出力②_DB!$A$4:$L$1123,12,TRUE),"未登録"))</f>
        <v>未登録</v>
      </c>
      <c r="AI65" s="118">
        <f t="shared" si="8"/>
        <v>0</v>
      </c>
      <c r="AJ65" s="118">
        <f t="shared" si="9"/>
        <v>0</v>
      </c>
    </row>
    <row r="66" spans="2:36" ht="18.95" customHeight="1">
      <c r="B66" s="68" t="str">
        <f>IF(塔内機器_入力①!T56="", "", 塔内機器_入力①!T56)</f>
        <v/>
      </c>
      <c r="C66" s="227">
        <f>IF(AND(B66&lt;&gt;"",B67&lt;&gt;""),IF(AA66=0,塔内機器_入力①!W58,0),0)</f>
        <v>0</v>
      </c>
      <c r="D66" s="139"/>
      <c r="E66" s="69" t="str">
        <f>IF(B66="","",SUM($AD$45:AD66)-COUNTIF($B$45:B66,"N"))</f>
        <v/>
      </c>
      <c r="F66" s="70" t="str">
        <f t="shared" si="3"/>
        <v/>
      </c>
      <c r="G66" s="225">
        <f t="shared" si="4"/>
        <v>0</v>
      </c>
      <c r="H66" s="139"/>
      <c r="I66" s="228" t="str">
        <f t="shared" si="5"/>
        <v/>
      </c>
      <c r="J66" s="139"/>
      <c r="K66" s="71" t="str">
        <f>IF(B66="","",IF($Y$15=0,"入力要確認",IF(E66=MAX($E$45:$E$68),"無し",IF(AG66&lt;&gt;$Y$6,"DB未登録",IF(OR(I66&lt;AE66,G66&gt;AF66),"階高範囲外",IF(AI66&lt;&gt;1,"推定DB未確認",VLOOKUP(I66,塔内機器_出力②_DB!$A$4:$L$1123,9,TRUE)))))))</f>
        <v/>
      </c>
      <c r="X66" s="115"/>
      <c r="Y66" s="115"/>
      <c r="Z66" s="118">
        <f>IF($Y$4&lt;&gt;1,0,IFERROR(VLOOKUP(帳票基本入力!C5,塔内機器_入力①_DB!$C$2:$AA$937,23,FALSE),0))</f>
        <v>0</v>
      </c>
      <c r="AA66" s="118">
        <f>IF(AND(B66&lt;&gt;"",B67&lt;&gt;""),1-IFERROR(IF(AND(COUNT(塔内機器_入力①!W58)=1,塔内機器_入力①!W58&gt;0,塔内機器_入力①!W58&lt;=90000,塔内機器_入力①!W58=ROUNDDOWN(塔内機器_入力①!W58,0)),1,0),0),0)</f>
        <v>0</v>
      </c>
      <c r="AB66" s="118">
        <f>IF(AND(B66&lt;&gt;"",B67&lt;&gt;""),0,IF(塔内機器_入力①!W58="",0,1))</f>
        <v>0</v>
      </c>
      <c r="AC66" s="118">
        <f t="shared" si="11"/>
        <v>0</v>
      </c>
      <c r="AD66" s="118">
        <f t="shared" si="6"/>
        <v>0</v>
      </c>
      <c r="AE66" s="118">
        <f>IF(B66="",0,IFERROR(VLOOKUP(I66,塔内機器_出力②_DB!$A$4:$L$1123,1,TRUE),0))</f>
        <v>0</v>
      </c>
      <c r="AF66" s="118">
        <f>IF(B66="",-1,IFERROR(VLOOKUP(I66,塔内機器_出力②_DB!$A$4:$L$1123,8,TRUE),-1))</f>
        <v>-1</v>
      </c>
      <c r="AG66" s="118">
        <f t="shared" si="7"/>
        <v>0</v>
      </c>
      <c r="AH66" s="118" t="str">
        <f>IF(B66="","未登録",IFERROR(VLOOKUP(I66,塔内機器_出力②_DB!$A$4:$L$1123,12,TRUE),"未登録"))</f>
        <v>未登録</v>
      </c>
      <c r="AI66" s="118">
        <f t="shared" si="8"/>
        <v>0</v>
      </c>
      <c r="AJ66" s="118">
        <f t="shared" si="9"/>
        <v>0</v>
      </c>
    </row>
    <row r="67" spans="2:36" ht="18.95" customHeight="1">
      <c r="B67" s="68" t="str">
        <f>IF(塔内機器_入力①!T60="", "", 塔内機器_入力①!T60)</f>
        <v/>
      </c>
      <c r="C67" s="227">
        <f>IF(AND(B67&lt;&gt;"",B68&lt;&gt;""),IF(AA67=0,塔内機器_入力①!W62,0),0)</f>
        <v>0</v>
      </c>
      <c r="D67" s="139"/>
      <c r="E67" s="69" t="str">
        <f>IF(B67="","",SUM($AD$45:AD67)-COUNTIF($B$45:B67,"N"))</f>
        <v/>
      </c>
      <c r="F67" s="70" t="str">
        <f t="shared" si="3"/>
        <v/>
      </c>
      <c r="G67" s="225">
        <f t="shared" si="4"/>
        <v>0</v>
      </c>
      <c r="H67" s="139"/>
      <c r="I67" s="228" t="str">
        <f t="shared" si="5"/>
        <v/>
      </c>
      <c r="J67" s="139"/>
      <c r="K67" s="71" t="str">
        <f>IF(B67="","",IF($Y$15=0,"入力要確認",IF(E67=MAX($E$45:$E$68),"無し",IF(AG67&lt;&gt;$Y$6,"DB未登録",IF(OR(I67&lt;AE67,G67&gt;AF67),"階高範囲外",IF(AI67&lt;&gt;1,"推定DB未確認",VLOOKUP(I67,塔内機器_出力②_DB!$A$4:$L$1123,9,TRUE)))))))</f>
        <v/>
      </c>
      <c r="X67" s="115"/>
      <c r="Y67" s="115"/>
      <c r="Z67" s="118">
        <f>IF($Y$4&lt;&gt;1,0,IFERROR(VLOOKUP(帳票基本入力!C5,塔内機器_入力①_DB!$C$2:$AA$937,24,FALSE),0))</f>
        <v>0</v>
      </c>
      <c r="AA67" s="118">
        <f>IF(AND(B67&lt;&gt;"",B68&lt;&gt;""),1-IFERROR(IF(AND(COUNT(塔内機器_入力①!W62)=1,塔内機器_入力①!W62&gt;0,塔内機器_入力①!W62&lt;=90000,塔内機器_入力①!W62=ROUNDDOWN(塔内機器_入力①!W62,0)),1,0),0),0)</f>
        <v>0</v>
      </c>
      <c r="AB67" s="118">
        <f>IF(AND(B67&lt;&gt;"",B68&lt;&gt;""),0,IF(塔内機器_入力①!W62="",0,1))</f>
        <v>0</v>
      </c>
      <c r="AC67" s="118">
        <f t="shared" si="11"/>
        <v>0</v>
      </c>
      <c r="AD67" s="118">
        <f t="shared" si="6"/>
        <v>0</v>
      </c>
      <c r="AE67" s="118">
        <f>IF(B67="",0,IFERROR(VLOOKUP(I67,塔内機器_出力②_DB!$A$4:$L$1123,1,TRUE),0))</f>
        <v>0</v>
      </c>
      <c r="AF67" s="118">
        <f>IF(B67="",-1,IFERROR(VLOOKUP(I67,塔内機器_出力②_DB!$A$4:$L$1123,8,TRUE),-1))</f>
        <v>-1</v>
      </c>
      <c r="AG67" s="118">
        <f t="shared" si="7"/>
        <v>0</v>
      </c>
      <c r="AH67" s="118" t="str">
        <f>IF(B67="","未登録",IFERROR(VLOOKUP(I67,塔内機器_出力②_DB!$A$4:$L$1123,12,TRUE),"未登録"))</f>
        <v>未登録</v>
      </c>
      <c r="AI67" s="118">
        <f t="shared" si="8"/>
        <v>0</v>
      </c>
      <c r="AJ67" s="118">
        <f t="shared" si="9"/>
        <v>0</v>
      </c>
    </row>
    <row r="68" spans="2:36" ht="18.95" customHeight="1">
      <c r="B68" s="72" t="str">
        <f>IF(塔内機器_入力①!T64="", "", 塔内機器_入力①!T64)</f>
        <v/>
      </c>
      <c r="C68" s="229">
        <v>0</v>
      </c>
      <c r="D68" s="139"/>
      <c r="E68" s="73" t="str">
        <f>IF(B68="","",SUM($AD$45:AD68)-COUNTIF($B$45:B68,"N"))</f>
        <v/>
      </c>
      <c r="F68" s="74" t="str">
        <f t="shared" si="3"/>
        <v/>
      </c>
      <c r="G68" s="230">
        <f t="shared" si="4"/>
        <v>0</v>
      </c>
      <c r="H68" s="139"/>
      <c r="I68" s="229" t="str">
        <f t="shared" si="5"/>
        <v/>
      </c>
      <c r="J68" s="139"/>
      <c r="K68" s="75" t="str">
        <f>IF(B68="","",IF($Y$15=0,"入力要確認",IF(E68=MAX($E$45:$E$68),"無し",IF(AG68&lt;&gt;$Y$6,"DB未登録",IF(OR(I68&lt;AE68,G68&gt;AF68),"階高範囲外",IF(AI68&lt;&gt;1,"推定DB未確認",VLOOKUP(I68,塔内機器_出力②_DB!$A$4:$L$1123,9,TRUE)))))))</f>
        <v/>
      </c>
      <c r="X68" s="115"/>
      <c r="Y68" s="115"/>
      <c r="Z68" s="118">
        <f>IF($Y$4&lt;&gt;1,0,IFERROR(VLOOKUP(帳票基本入力!C5,塔内機器_入力①_DB!$C$2:$AA$937,25,FALSE),0))</f>
        <v>0</v>
      </c>
      <c r="AA68" s="118">
        <v>0</v>
      </c>
      <c r="AB68" s="118">
        <v>0</v>
      </c>
      <c r="AC68" s="118">
        <f t="shared" si="11"/>
        <v>0</v>
      </c>
      <c r="AD68" s="118">
        <f t="shared" si="6"/>
        <v>0</v>
      </c>
      <c r="AE68" s="118">
        <f>IF(B68="",0,IFERROR(VLOOKUP(I68,塔内機器_出力②_DB!$A$4:$L$1123,1,TRUE),0))</f>
        <v>0</v>
      </c>
      <c r="AF68" s="118">
        <f>IF(B68="",-1,IFERROR(VLOOKUP(I68,塔内機器_出力②_DB!$A$4:$L$1123,8,TRUE),-1))</f>
        <v>-1</v>
      </c>
      <c r="AG68" s="118">
        <f t="shared" si="7"/>
        <v>0</v>
      </c>
      <c r="AH68" s="118" t="str">
        <f>IF(B68="","未登録",IFERROR(VLOOKUP(I68,塔内機器_出力②_DB!$A$4:$L$1123,12,TRUE),"未登録"))</f>
        <v>未登録</v>
      </c>
      <c r="AI68" s="118">
        <f t="shared" si="8"/>
        <v>0</v>
      </c>
      <c r="AJ68" s="118">
        <f t="shared" si="9"/>
        <v>0</v>
      </c>
    </row>
  </sheetData>
  <sheetProtection sheet="1" objects="1" scenarios="1"/>
  <mergeCells count="152">
    <mergeCell ref="C68:D68"/>
    <mergeCell ref="G68:H68"/>
    <mergeCell ref="I68:J68"/>
    <mergeCell ref="C66:D66"/>
    <mergeCell ref="G66:H66"/>
    <mergeCell ref="I66:J66"/>
    <mergeCell ref="C67:D67"/>
    <mergeCell ref="G67:H67"/>
    <mergeCell ref="I67:J67"/>
    <mergeCell ref="C64:D64"/>
    <mergeCell ref="G64:H64"/>
    <mergeCell ref="I64:J64"/>
    <mergeCell ref="C65:D65"/>
    <mergeCell ref="G65:H65"/>
    <mergeCell ref="I65:J65"/>
    <mergeCell ref="C62:D62"/>
    <mergeCell ref="G62:H62"/>
    <mergeCell ref="I62:J62"/>
    <mergeCell ref="C63:D63"/>
    <mergeCell ref="G63:H63"/>
    <mergeCell ref="I63:J63"/>
    <mergeCell ref="C60:D60"/>
    <mergeCell ref="G60:H60"/>
    <mergeCell ref="I60:J60"/>
    <mergeCell ref="C61:D61"/>
    <mergeCell ref="G61:H61"/>
    <mergeCell ref="I61:J61"/>
    <mergeCell ref="C58:D58"/>
    <mergeCell ref="G58:H58"/>
    <mergeCell ref="I58:J58"/>
    <mergeCell ref="C59:D59"/>
    <mergeCell ref="G59:H59"/>
    <mergeCell ref="I59:J59"/>
    <mergeCell ref="C56:D56"/>
    <mergeCell ref="G56:H56"/>
    <mergeCell ref="I56:J56"/>
    <mergeCell ref="C57:D57"/>
    <mergeCell ref="G57:H57"/>
    <mergeCell ref="I57:J57"/>
    <mergeCell ref="C54:D54"/>
    <mergeCell ref="G54:H54"/>
    <mergeCell ref="I54:J54"/>
    <mergeCell ref="C55:D55"/>
    <mergeCell ref="G55:H55"/>
    <mergeCell ref="I55:J55"/>
    <mergeCell ref="C52:D52"/>
    <mergeCell ref="G52:H52"/>
    <mergeCell ref="I52:J52"/>
    <mergeCell ref="C53:D53"/>
    <mergeCell ref="G53:H53"/>
    <mergeCell ref="I53:J53"/>
    <mergeCell ref="C50:D50"/>
    <mergeCell ref="G50:H50"/>
    <mergeCell ref="I50:J50"/>
    <mergeCell ref="C51:D51"/>
    <mergeCell ref="G51:H51"/>
    <mergeCell ref="I51:J51"/>
    <mergeCell ref="C48:D48"/>
    <mergeCell ref="G48:H48"/>
    <mergeCell ref="I48:J48"/>
    <mergeCell ref="C49:D49"/>
    <mergeCell ref="G49:H49"/>
    <mergeCell ref="I49:J49"/>
    <mergeCell ref="C46:D46"/>
    <mergeCell ref="G46:H46"/>
    <mergeCell ref="I46:J46"/>
    <mergeCell ref="C47:D47"/>
    <mergeCell ref="G47:H47"/>
    <mergeCell ref="I47:J47"/>
    <mergeCell ref="L38:M38"/>
    <mergeCell ref="O38:P38"/>
    <mergeCell ref="L39:M39"/>
    <mergeCell ref="O39:P39"/>
    <mergeCell ref="C45:D45"/>
    <mergeCell ref="G45:H45"/>
    <mergeCell ref="I45:J45"/>
    <mergeCell ref="L36:M36"/>
    <mergeCell ref="O36:P36"/>
    <mergeCell ref="S36:T36"/>
    <mergeCell ref="L37:M37"/>
    <mergeCell ref="O37:P37"/>
    <mergeCell ref="H34:J34"/>
    <mergeCell ref="L34:M34"/>
    <mergeCell ref="O34:P34"/>
    <mergeCell ref="S34:T34"/>
    <mergeCell ref="L35:M35"/>
    <mergeCell ref="O35:P35"/>
    <mergeCell ref="S35:T35"/>
    <mergeCell ref="S32:T32"/>
    <mergeCell ref="H33:J33"/>
    <mergeCell ref="L33:M33"/>
    <mergeCell ref="O33:P33"/>
    <mergeCell ref="S33:T33"/>
    <mergeCell ref="I28:K28"/>
    <mergeCell ref="L28:N28"/>
    <mergeCell ref="L31:P31"/>
    <mergeCell ref="H32:J32"/>
    <mergeCell ref="L32:M32"/>
    <mergeCell ref="O32:P32"/>
    <mergeCell ref="I25:K25"/>
    <mergeCell ref="L25:N25"/>
    <mergeCell ref="I26:K26"/>
    <mergeCell ref="L26:N26"/>
    <mergeCell ref="I27:K27"/>
    <mergeCell ref="L27:N27"/>
    <mergeCell ref="I22:K22"/>
    <mergeCell ref="L22:N22"/>
    <mergeCell ref="I23:K23"/>
    <mergeCell ref="L23:N23"/>
    <mergeCell ref="I24:K24"/>
    <mergeCell ref="L24:N24"/>
    <mergeCell ref="I19:K19"/>
    <mergeCell ref="L19:N19"/>
    <mergeCell ref="I20:K20"/>
    <mergeCell ref="L20:N20"/>
    <mergeCell ref="I21:K21"/>
    <mergeCell ref="L21:N21"/>
    <mergeCell ref="I16:K16"/>
    <mergeCell ref="L16:N16"/>
    <mergeCell ref="I17:K17"/>
    <mergeCell ref="L17:N17"/>
    <mergeCell ref="I18:K18"/>
    <mergeCell ref="L18:N18"/>
    <mergeCell ref="I14:K14"/>
    <mergeCell ref="L14:N14"/>
    <mergeCell ref="I15:K15"/>
    <mergeCell ref="L15:N15"/>
    <mergeCell ref="I10:K10"/>
    <mergeCell ref="L10:N10"/>
    <mergeCell ref="I11:K11"/>
    <mergeCell ref="L11:N11"/>
    <mergeCell ref="I12:K12"/>
    <mergeCell ref="L12:N12"/>
    <mergeCell ref="I9:K9"/>
    <mergeCell ref="L9:N9"/>
    <mergeCell ref="I4:N4"/>
    <mergeCell ref="O4:Q4"/>
    <mergeCell ref="I5:K5"/>
    <mergeCell ref="L5:N5"/>
    <mergeCell ref="I6:K6"/>
    <mergeCell ref="L6:N6"/>
    <mergeCell ref="I13:K13"/>
    <mergeCell ref="L13:N13"/>
    <mergeCell ref="H2:N2"/>
    <mergeCell ref="R2:V2"/>
    <mergeCell ref="I3:K3"/>
    <mergeCell ref="L3:N3"/>
    <mergeCell ref="R3:U3"/>
    <mergeCell ref="I7:K7"/>
    <mergeCell ref="L7:N7"/>
    <mergeCell ref="I8:K8"/>
    <mergeCell ref="L8:N8"/>
  </mergeCells>
  <phoneticPr fontId="155"/>
  <printOptions horizontalCentered="1"/>
  <pageMargins left="0.27777777777777779" right="0.27777777777777779" top="0.34722222222222221" bottom="0.34722222222222221" header="0.3" footer="0.3"/>
  <pageSetup paperSize="9" scale="37" orientation="landscape" r:id="rId1"/>
  <headerFooter>
    <oddFooter>&amp;R&amp;P / &amp;N&amp;Cv4 / 2026-09-24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68B00"/>
    <pageSetUpPr fitToPage="1"/>
  </sheetPr>
  <dimension ref="A1:AC531"/>
  <sheetViews>
    <sheetView zoomScaleNormal="100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/>
    </sheetView>
  </sheetViews>
  <sheetFormatPr defaultColWidth="8.375" defaultRowHeight="14.25"/>
  <cols>
    <col min="1" max="2" width="8" customWidth="1"/>
    <col min="3" max="3" width="24" customWidth="1"/>
    <col min="4" max="4" width="7" customWidth="1"/>
    <col min="5" max="27" width="6" customWidth="1"/>
    <col min="28" max="29" width="28.625" customWidth="1"/>
  </cols>
  <sheetData>
    <row r="1" spans="1:29" ht="21.95" customHeight="1">
      <c r="A1" s="76" t="s">
        <v>314</v>
      </c>
      <c r="B1" s="76" t="s">
        <v>315</v>
      </c>
      <c r="C1" s="76" t="s">
        <v>51</v>
      </c>
      <c r="D1" s="76" t="s">
        <v>316</v>
      </c>
      <c r="E1" s="76" t="s">
        <v>317</v>
      </c>
      <c r="F1" s="76" t="s">
        <v>318</v>
      </c>
      <c r="G1" s="76" t="s">
        <v>319</v>
      </c>
      <c r="H1" s="76" t="s">
        <v>320</v>
      </c>
      <c r="I1" s="76" t="s">
        <v>321</v>
      </c>
      <c r="J1" s="76" t="s">
        <v>322</v>
      </c>
      <c r="K1" s="76" t="s">
        <v>323</v>
      </c>
      <c r="L1" s="76" t="s">
        <v>324</v>
      </c>
      <c r="M1" s="76" t="s">
        <v>325</v>
      </c>
      <c r="N1" s="76" t="s">
        <v>326</v>
      </c>
      <c r="O1" s="76" t="s">
        <v>327</v>
      </c>
      <c r="P1" s="76" t="s">
        <v>328</v>
      </c>
      <c r="Q1" s="76" t="s">
        <v>329</v>
      </c>
      <c r="R1" s="76" t="s">
        <v>330</v>
      </c>
      <c r="S1" s="76" t="s">
        <v>331</v>
      </c>
      <c r="T1" s="76" t="s">
        <v>332</v>
      </c>
      <c r="U1" s="76" t="s">
        <v>333</v>
      </c>
      <c r="V1" s="76" t="s">
        <v>334</v>
      </c>
      <c r="W1" s="76" t="s">
        <v>335</v>
      </c>
      <c r="X1" s="76" t="s">
        <v>336</v>
      </c>
      <c r="Y1" s="76" t="s">
        <v>337</v>
      </c>
      <c r="Z1" s="76" t="s">
        <v>338</v>
      </c>
      <c r="AA1" s="76" t="s">
        <v>339</v>
      </c>
      <c r="AB1" s="77" t="s">
        <v>669</v>
      </c>
      <c r="AC1" s="77" t="s">
        <v>658</v>
      </c>
    </row>
    <row r="2" spans="1:29" ht="13.5" customHeight="1">
      <c r="A2" s="78">
        <v>1</v>
      </c>
      <c r="B2" s="78" t="s">
        <v>340</v>
      </c>
      <c r="C2" s="78" t="s">
        <v>341</v>
      </c>
      <c r="D2" s="78" t="s">
        <v>342</v>
      </c>
      <c r="E2" s="78" t="s">
        <v>343</v>
      </c>
      <c r="F2" s="78" t="s">
        <v>344</v>
      </c>
      <c r="G2" s="78" t="s">
        <v>345</v>
      </c>
      <c r="H2" s="78" t="s">
        <v>346</v>
      </c>
      <c r="I2" s="78" t="s">
        <v>347</v>
      </c>
      <c r="AB2" s="79" t="s">
        <v>659</v>
      </c>
      <c r="AC2" s="79" t="s">
        <v>660</v>
      </c>
    </row>
    <row r="3" spans="1:29" ht="13.5" customHeight="1">
      <c r="A3" s="78">
        <v>2</v>
      </c>
      <c r="B3" s="78" t="s">
        <v>340</v>
      </c>
      <c r="C3" s="78" t="s">
        <v>348</v>
      </c>
      <c r="D3" s="78" t="s">
        <v>342</v>
      </c>
      <c r="E3" s="78" t="s">
        <v>343</v>
      </c>
      <c r="F3" s="78" t="s">
        <v>344</v>
      </c>
      <c r="G3" s="78" t="s">
        <v>345</v>
      </c>
      <c r="H3" s="78" t="s">
        <v>349</v>
      </c>
      <c r="I3" s="78" t="s">
        <v>347</v>
      </c>
      <c r="AB3" s="79" t="s">
        <v>659</v>
      </c>
      <c r="AC3" s="79" t="s">
        <v>660</v>
      </c>
    </row>
    <row r="4" spans="1:29" ht="13.5" customHeight="1">
      <c r="A4" s="78">
        <v>3</v>
      </c>
      <c r="B4" s="78" t="s">
        <v>340</v>
      </c>
      <c r="C4" s="78" t="s">
        <v>350</v>
      </c>
      <c r="D4" s="78" t="s">
        <v>342</v>
      </c>
      <c r="E4" s="78" t="s">
        <v>344</v>
      </c>
      <c r="F4" s="78" t="s">
        <v>345</v>
      </c>
      <c r="AB4" s="79" t="s">
        <v>659</v>
      </c>
      <c r="AC4" s="79" t="s">
        <v>660</v>
      </c>
    </row>
    <row r="5" spans="1:29" ht="13.5" customHeight="1">
      <c r="A5" s="78">
        <v>4</v>
      </c>
      <c r="B5" s="78" t="s">
        <v>340</v>
      </c>
      <c r="C5" s="78" t="s">
        <v>351</v>
      </c>
      <c r="D5" s="78" t="s">
        <v>343</v>
      </c>
      <c r="E5" s="78" t="s">
        <v>352</v>
      </c>
      <c r="F5" s="78" t="s">
        <v>353</v>
      </c>
      <c r="G5" s="78" t="s">
        <v>354</v>
      </c>
      <c r="AB5" s="79" t="s">
        <v>659</v>
      </c>
      <c r="AC5" s="79" t="s">
        <v>660</v>
      </c>
    </row>
    <row r="6" spans="1:29" ht="13.5" customHeight="1">
      <c r="A6" s="78">
        <v>5</v>
      </c>
      <c r="B6" s="78" t="s">
        <v>340</v>
      </c>
      <c r="C6" s="78" t="s">
        <v>355</v>
      </c>
      <c r="D6" s="78" t="s">
        <v>343</v>
      </c>
      <c r="E6" s="78" t="s">
        <v>344</v>
      </c>
      <c r="AB6" s="79" t="s">
        <v>659</v>
      </c>
      <c r="AC6" s="79" t="s">
        <v>660</v>
      </c>
    </row>
    <row r="7" spans="1:29" ht="13.5" customHeight="1">
      <c r="A7" s="78">
        <v>6</v>
      </c>
      <c r="B7" s="78" t="s">
        <v>340</v>
      </c>
      <c r="C7" s="78" t="s">
        <v>356</v>
      </c>
      <c r="D7" s="78" t="s">
        <v>343</v>
      </c>
      <c r="E7" s="78" t="s">
        <v>344</v>
      </c>
      <c r="F7" s="78" t="s">
        <v>345</v>
      </c>
      <c r="G7" s="78" t="s">
        <v>349</v>
      </c>
      <c r="AB7" s="79" t="s">
        <v>659</v>
      </c>
      <c r="AC7" s="79" t="s">
        <v>660</v>
      </c>
    </row>
    <row r="8" spans="1:29" ht="13.5" customHeight="1">
      <c r="A8" s="78">
        <v>7</v>
      </c>
      <c r="B8" s="78" t="s">
        <v>340</v>
      </c>
      <c r="C8" s="78" t="s">
        <v>357</v>
      </c>
      <c r="D8" s="78" t="s">
        <v>343</v>
      </c>
      <c r="E8" s="78" t="s">
        <v>344</v>
      </c>
      <c r="F8" s="78" t="s">
        <v>345</v>
      </c>
      <c r="G8" s="78" t="s">
        <v>349</v>
      </c>
      <c r="H8" s="78" t="s">
        <v>347</v>
      </c>
      <c r="AB8" s="79" t="s">
        <v>659</v>
      </c>
      <c r="AC8" s="79" t="s">
        <v>660</v>
      </c>
    </row>
    <row r="9" spans="1:29" ht="13.5" customHeight="1">
      <c r="A9" s="78">
        <v>8</v>
      </c>
      <c r="B9" s="78" t="s">
        <v>340</v>
      </c>
      <c r="C9" s="78" t="s">
        <v>358</v>
      </c>
      <c r="D9" s="78" t="s">
        <v>343</v>
      </c>
      <c r="E9" s="78" t="s">
        <v>344</v>
      </c>
      <c r="F9" s="78" t="s">
        <v>345</v>
      </c>
      <c r="G9" s="78" t="s">
        <v>349</v>
      </c>
      <c r="H9" s="78" t="s">
        <v>347</v>
      </c>
      <c r="AB9" s="79" t="s">
        <v>659</v>
      </c>
      <c r="AC9" s="79" t="s">
        <v>660</v>
      </c>
    </row>
    <row r="10" spans="1:29" ht="13.5" customHeight="1">
      <c r="A10" s="78">
        <v>9</v>
      </c>
      <c r="B10" s="78" t="s">
        <v>340</v>
      </c>
      <c r="C10" s="78" t="s">
        <v>359</v>
      </c>
      <c r="D10" s="78" t="s">
        <v>343</v>
      </c>
      <c r="E10" s="78" t="s">
        <v>344</v>
      </c>
      <c r="F10" s="78" t="s">
        <v>349</v>
      </c>
      <c r="G10" s="78" t="s">
        <v>347</v>
      </c>
      <c r="AB10" s="79" t="s">
        <v>659</v>
      </c>
      <c r="AC10" s="79" t="s">
        <v>660</v>
      </c>
    </row>
    <row r="11" spans="1:29" ht="13.5" customHeight="1">
      <c r="A11" s="78">
        <v>10</v>
      </c>
      <c r="B11" s="78" t="s">
        <v>340</v>
      </c>
      <c r="C11" s="78" t="s">
        <v>360</v>
      </c>
      <c r="D11" s="78" t="s">
        <v>344</v>
      </c>
      <c r="E11" s="78" t="s">
        <v>353</v>
      </c>
      <c r="F11" s="78" t="s">
        <v>346</v>
      </c>
      <c r="G11" s="78" t="s">
        <v>347</v>
      </c>
      <c r="H11" s="78" t="s">
        <v>317</v>
      </c>
      <c r="AB11" s="79" t="s">
        <v>659</v>
      </c>
      <c r="AC11" s="79" t="s">
        <v>660</v>
      </c>
    </row>
    <row r="12" spans="1:29" ht="13.5" customHeight="1">
      <c r="A12" s="78">
        <v>11</v>
      </c>
      <c r="B12" s="78" t="s">
        <v>340</v>
      </c>
      <c r="C12" s="78" t="s">
        <v>361</v>
      </c>
      <c r="D12" s="78" t="s">
        <v>344</v>
      </c>
      <c r="E12" s="78" t="s">
        <v>353</v>
      </c>
      <c r="F12" s="78" t="s">
        <v>349</v>
      </c>
      <c r="G12" s="78" t="s">
        <v>347</v>
      </c>
      <c r="AB12" s="79" t="s">
        <v>659</v>
      </c>
      <c r="AC12" s="79" t="s">
        <v>660</v>
      </c>
    </row>
    <row r="13" spans="1:29" ht="13.5" customHeight="1">
      <c r="A13" s="78">
        <v>12</v>
      </c>
      <c r="B13" s="78" t="s">
        <v>340</v>
      </c>
      <c r="C13" s="78" t="s">
        <v>362</v>
      </c>
      <c r="D13" s="78" t="s">
        <v>344</v>
      </c>
      <c r="E13" s="78" t="s">
        <v>345</v>
      </c>
      <c r="AB13" s="79" t="s">
        <v>659</v>
      </c>
      <c r="AC13" s="79" t="s">
        <v>660</v>
      </c>
    </row>
    <row r="14" spans="1:29" ht="13.5" customHeight="1">
      <c r="A14" s="78">
        <v>13</v>
      </c>
      <c r="B14" s="78" t="s">
        <v>340</v>
      </c>
      <c r="C14" s="78" t="s">
        <v>363</v>
      </c>
      <c r="D14" s="78" t="s">
        <v>344</v>
      </c>
      <c r="E14" s="78" t="s">
        <v>345</v>
      </c>
      <c r="AB14" s="79" t="s">
        <v>659</v>
      </c>
      <c r="AC14" s="79" t="s">
        <v>660</v>
      </c>
    </row>
    <row r="15" spans="1:29" ht="13.5" customHeight="1">
      <c r="A15" s="78">
        <v>14</v>
      </c>
      <c r="B15" s="78" t="s">
        <v>340</v>
      </c>
      <c r="C15" s="78" t="s">
        <v>364</v>
      </c>
      <c r="D15" s="78" t="s">
        <v>344</v>
      </c>
      <c r="E15" s="78" t="s">
        <v>345</v>
      </c>
      <c r="F15" s="78" t="s">
        <v>346</v>
      </c>
      <c r="G15" s="78" t="s">
        <v>347</v>
      </c>
      <c r="AB15" s="79" t="s">
        <v>659</v>
      </c>
      <c r="AC15" s="79" t="s">
        <v>660</v>
      </c>
    </row>
    <row r="16" spans="1:29" ht="13.5" customHeight="1">
      <c r="A16" s="78">
        <v>15</v>
      </c>
      <c r="B16" s="78" t="s">
        <v>340</v>
      </c>
      <c r="C16" s="78" t="s">
        <v>365</v>
      </c>
      <c r="D16" s="78" t="s">
        <v>344</v>
      </c>
      <c r="E16" s="78" t="s">
        <v>345</v>
      </c>
      <c r="F16" s="78" t="s">
        <v>346</v>
      </c>
      <c r="G16" s="78" t="s">
        <v>347</v>
      </c>
      <c r="H16" s="78" t="s">
        <v>366</v>
      </c>
      <c r="I16" s="78" t="s">
        <v>367</v>
      </c>
      <c r="J16" s="78" t="s">
        <v>368</v>
      </c>
      <c r="K16" s="78" t="s">
        <v>369</v>
      </c>
      <c r="AB16" s="79" t="s">
        <v>659</v>
      </c>
      <c r="AC16" s="79" t="s">
        <v>660</v>
      </c>
    </row>
    <row r="17" spans="1:29" ht="13.5" customHeight="1">
      <c r="A17" s="78">
        <v>16</v>
      </c>
      <c r="B17" s="78" t="s">
        <v>340</v>
      </c>
      <c r="C17" s="78" t="s">
        <v>370</v>
      </c>
      <c r="D17" s="78" t="s">
        <v>344</v>
      </c>
      <c r="E17" s="78" t="s">
        <v>345</v>
      </c>
      <c r="F17" s="78" t="s">
        <v>349</v>
      </c>
      <c r="AB17" s="79" t="s">
        <v>659</v>
      </c>
      <c r="AC17" s="79" t="s">
        <v>660</v>
      </c>
    </row>
    <row r="18" spans="1:29" ht="13.5" customHeight="1">
      <c r="A18" s="78">
        <v>17</v>
      </c>
      <c r="B18" s="78" t="s">
        <v>340</v>
      </c>
      <c r="C18" s="78" t="s">
        <v>371</v>
      </c>
      <c r="D18" s="78" t="s">
        <v>344</v>
      </c>
      <c r="E18" s="78" t="s">
        <v>345</v>
      </c>
      <c r="F18" s="78" t="s">
        <v>349</v>
      </c>
      <c r="AB18" s="79" t="s">
        <v>659</v>
      </c>
      <c r="AC18" s="79" t="s">
        <v>660</v>
      </c>
    </row>
    <row r="19" spans="1:29" ht="13.5" customHeight="1">
      <c r="A19" s="78">
        <v>18</v>
      </c>
      <c r="B19" s="78" t="s">
        <v>340</v>
      </c>
      <c r="C19" s="78" t="s">
        <v>372</v>
      </c>
      <c r="D19" s="78" t="s">
        <v>344</v>
      </c>
      <c r="E19" s="78" t="s">
        <v>345</v>
      </c>
      <c r="F19" s="78" t="s">
        <v>349</v>
      </c>
      <c r="G19" s="78" t="s">
        <v>354</v>
      </c>
      <c r="H19" s="78" t="s">
        <v>347</v>
      </c>
      <c r="I19" s="78" t="s">
        <v>317</v>
      </c>
      <c r="J19" s="78" t="s">
        <v>318</v>
      </c>
      <c r="K19" s="78" t="s">
        <v>319</v>
      </c>
      <c r="L19" s="78" t="s">
        <v>320</v>
      </c>
      <c r="M19" s="78" t="s">
        <v>373</v>
      </c>
      <c r="AB19" s="79" t="s">
        <v>659</v>
      </c>
      <c r="AC19" s="79" t="s">
        <v>660</v>
      </c>
    </row>
    <row r="20" spans="1:29" ht="13.5" customHeight="1">
      <c r="A20" s="78">
        <v>19</v>
      </c>
      <c r="B20" s="78" t="s">
        <v>340</v>
      </c>
      <c r="C20" s="78" t="s">
        <v>374</v>
      </c>
      <c r="D20" s="78" t="s">
        <v>344</v>
      </c>
      <c r="E20" s="78" t="s">
        <v>345</v>
      </c>
      <c r="F20" s="78" t="s">
        <v>349</v>
      </c>
      <c r="G20" s="78" t="s">
        <v>347</v>
      </c>
      <c r="AB20" s="79" t="s">
        <v>659</v>
      </c>
      <c r="AC20" s="79" t="s">
        <v>660</v>
      </c>
    </row>
    <row r="21" spans="1:29" ht="13.5" customHeight="1">
      <c r="A21" s="78">
        <v>20</v>
      </c>
      <c r="B21" s="78" t="s">
        <v>340</v>
      </c>
      <c r="C21" s="78" t="s">
        <v>375</v>
      </c>
      <c r="D21" s="78" t="s">
        <v>344</v>
      </c>
      <c r="E21" s="78" t="s">
        <v>345</v>
      </c>
      <c r="F21" s="78" t="s">
        <v>349</v>
      </c>
      <c r="G21" s="78" t="s">
        <v>347</v>
      </c>
      <c r="AB21" s="79" t="s">
        <v>659</v>
      </c>
      <c r="AC21" s="79" t="s">
        <v>660</v>
      </c>
    </row>
    <row r="22" spans="1:29" ht="13.5" customHeight="1">
      <c r="A22" s="78">
        <v>21</v>
      </c>
      <c r="B22" s="78" t="s">
        <v>340</v>
      </c>
      <c r="C22" s="78" t="s">
        <v>376</v>
      </c>
      <c r="D22" s="78" t="s">
        <v>344</v>
      </c>
      <c r="E22" s="78" t="s">
        <v>345</v>
      </c>
      <c r="F22" s="78" t="s">
        <v>349</v>
      </c>
      <c r="G22" s="78" t="s">
        <v>347</v>
      </c>
      <c r="H22" s="78" t="s">
        <v>317</v>
      </c>
      <c r="AB22" s="79" t="s">
        <v>659</v>
      </c>
      <c r="AC22" s="79" t="s">
        <v>660</v>
      </c>
    </row>
    <row r="23" spans="1:29" ht="13.5" customHeight="1">
      <c r="A23" s="78">
        <v>22</v>
      </c>
      <c r="B23" s="78" t="s">
        <v>340</v>
      </c>
      <c r="C23" s="78" t="s">
        <v>377</v>
      </c>
      <c r="D23" s="78" t="s">
        <v>344</v>
      </c>
      <c r="E23" s="78" t="s">
        <v>345</v>
      </c>
      <c r="F23" s="78" t="s">
        <v>349</v>
      </c>
      <c r="G23" s="78" t="s">
        <v>347</v>
      </c>
      <c r="H23" s="78" t="s">
        <v>317</v>
      </c>
      <c r="I23" s="78" t="s">
        <v>318</v>
      </c>
      <c r="AB23" s="79" t="s">
        <v>659</v>
      </c>
      <c r="AC23" s="79" t="s">
        <v>660</v>
      </c>
    </row>
    <row r="24" spans="1:29" ht="13.5" customHeight="1">
      <c r="A24" s="78">
        <v>23</v>
      </c>
      <c r="B24" s="78" t="s">
        <v>340</v>
      </c>
      <c r="C24" s="78" t="s">
        <v>378</v>
      </c>
      <c r="D24" s="78" t="s">
        <v>344</v>
      </c>
      <c r="E24" s="78" t="s">
        <v>345</v>
      </c>
      <c r="F24" s="78" t="s">
        <v>349</v>
      </c>
      <c r="G24" s="78" t="s">
        <v>347</v>
      </c>
      <c r="H24" s="78" t="s">
        <v>317</v>
      </c>
      <c r="I24" s="78" t="s">
        <v>318</v>
      </c>
      <c r="J24" s="78" t="s">
        <v>368</v>
      </c>
      <c r="K24" s="78" t="s">
        <v>320</v>
      </c>
      <c r="L24" s="78" t="s">
        <v>321</v>
      </c>
      <c r="AB24" s="79" t="s">
        <v>659</v>
      </c>
      <c r="AC24" s="79" t="s">
        <v>660</v>
      </c>
    </row>
    <row r="25" spans="1:29" ht="13.5" customHeight="1">
      <c r="A25" s="78">
        <v>24</v>
      </c>
      <c r="B25" s="78" t="s">
        <v>340</v>
      </c>
      <c r="C25" s="78" t="s">
        <v>379</v>
      </c>
      <c r="D25" s="78" t="s">
        <v>344</v>
      </c>
      <c r="E25" s="78" t="s">
        <v>345</v>
      </c>
      <c r="F25" s="78" t="s">
        <v>349</v>
      </c>
      <c r="G25" s="78" t="s">
        <v>347</v>
      </c>
      <c r="H25" s="78" t="s">
        <v>317</v>
      </c>
      <c r="I25" s="78" t="s">
        <v>318</v>
      </c>
      <c r="J25" s="78" t="s">
        <v>319</v>
      </c>
      <c r="AB25" s="79" t="s">
        <v>659</v>
      </c>
      <c r="AC25" s="79" t="s">
        <v>660</v>
      </c>
    </row>
    <row r="26" spans="1:29" ht="13.5" customHeight="1">
      <c r="A26" s="78">
        <v>25</v>
      </c>
      <c r="B26" s="78" t="s">
        <v>340</v>
      </c>
      <c r="C26" s="78" t="s">
        <v>380</v>
      </c>
      <c r="D26" s="78" t="s">
        <v>344</v>
      </c>
      <c r="E26" s="78" t="s">
        <v>345</v>
      </c>
      <c r="F26" s="78" t="s">
        <v>349</v>
      </c>
      <c r="G26" s="78" t="s">
        <v>347</v>
      </c>
      <c r="H26" s="78" t="s">
        <v>317</v>
      </c>
      <c r="I26" s="78" t="s">
        <v>318</v>
      </c>
      <c r="J26" s="78" t="s">
        <v>319</v>
      </c>
      <c r="K26" s="78" t="s">
        <v>320</v>
      </c>
      <c r="AB26" s="79" t="s">
        <v>659</v>
      </c>
      <c r="AC26" s="79" t="s">
        <v>660</v>
      </c>
    </row>
    <row r="27" spans="1:29" ht="13.5" customHeight="1">
      <c r="A27" s="78">
        <v>26</v>
      </c>
      <c r="B27" s="78" t="s">
        <v>340</v>
      </c>
      <c r="C27" s="78" t="s">
        <v>381</v>
      </c>
      <c r="D27" s="78" t="s">
        <v>344</v>
      </c>
      <c r="E27" s="78" t="s">
        <v>345</v>
      </c>
      <c r="F27" s="78" t="s">
        <v>349</v>
      </c>
      <c r="G27" s="78" t="s">
        <v>347</v>
      </c>
      <c r="H27" s="78" t="s">
        <v>317</v>
      </c>
      <c r="I27" s="78" t="s">
        <v>318</v>
      </c>
      <c r="J27" s="78" t="s">
        <v>319</v>
      </c>
      <c r="K27" s="78" t="s">
        <v>320</v>
      </c>
      <c r="L27" s="78" t="s">
        <v>321</v>
      </c>
      <c r="AB27" s="79" t="s">
        <v>659</v>
      </c>
      <c r="AC27" s="79" t="s">
        <v>660</v>
      </c>
    </row>
    <row r="28" spans="1:29" ht="13.5" customHeight="1">
      <c r="A28" s="78">
        <v>27</v>
      </c>
      <c r="B28" s="78" t="s">
        <v>340</v>
      </c>
      <c r="C28" s="78" t="s">
        <v>382</v>
      </c>
      <c r="D28" s="78" t="s">
        <v>344</v>
      </c>
      <c r="E28" s="78" t="s">
        <v>345</v>
      </c>
      <c r="F28" s="78" t="s">
        <v>349</v>
      </c>
      <c r="G28" s="78" t="s">
        <v>347</v>
      </c>
      <c r="H28" s="78" t="s">
        <v>317</v>
      </c>
      <c r="I28" s="78" t="s">
        <v>318</v>
      </c>
      <c r="J28" s="78" t="s">
        <v>319</v>
      </c>
      <c r="K28" s="78" t="s">
        <v>320</v>
      </c>
      <c r="L28" s="78" t="s">
        <v>321</v>
      </c>
      <c r="M28" s="78" t="s">
        <v>322</v>
      </c>
      <c r="N28" s="78" t="s">
        <v>323</v>
      </c>
      <c r="O28" s="78" t="s">
        <v>324</v>
      </c>
      <c r="P28" s="78" t="s">
        <v>325</v>
      </c>
      <c r="Q28" s="78" t="s">
        <v>326</v>
      </c>
      <c r="R28" s="78" t="s">
        <v>327</v>
      </c>
      <c r="S28" s="78" t="s">
        <v>328</v>
      </c>
      <c r="AB28" s="79" t="s">
        <v>659</v>
      </c>
      <c r="AC28" s="79" t="s">
        <v>660</v>
      </c>
    </row>
    <row r="29" spans="1:29" ht="13.5" customHeight="1">
      <c r="A29" s="78">
        <v>28</v>
      </c>
      <c r="B29" s="78" t="s">
        <v>340</v>
      </c>
      <c r="C29" s="78" t="s">
        <v>383</v>
      </c>
      <c r="D29" s="78" t="s">
        <v>344</v>
      </c>
      <c r="E29" s="78" t="s">
        <v>345</v>
      </c>
      <c r="F29" s="78" t="s">
        <v>349</v>
      </c>
      <c r="G29" s="78" t="s">
        <v>347</v>
      </c>
      <c r="H29" s="78" t="s">
        <v>317</v>
      </c>
      <c r="I29" s="78" t="s">
        <v>318</v>
      </c>
      <c r="J29" s="78" t="s">
        <v>319</v>
      </c>
      <c r="K29" s="78" t="s">
        <v>320</v>
      </c>
      <c r="L29" s="78" t="s">
        <v>321</v>
      </c>
      <c r="M29" s="78" t="s">
        <v>322</v>
      </c>
      <c r="N29" s="78" t="s">
        <v>323</v>
      </c>
      <c r="O29" s="78" t="s">
        <v>324</v>
      </c>
      <c r="P29" s="78" t="s">
        <v>325</v>
      </c>
      <c r="Q29" s="78" t="s">
        <v>326</v>
      </c>
      <c r="R29" s="78" t="s">
        <v>327</v>
      </c>
      <c r="S29" s="78" t="s">
        <v>328</v>
      </c>
      <c r="T29" s="78" t="s">
        <v>329</v>
      </c>
      <c r="AB29" s="79" t="s">
        <v>659</v>
      </c>
      <c r="AC29" s="79" t="s">
        <v>660</v>
      </c>
    </row>
    <row r="30" spans="1:29" ht="13.5" customHeight="1">
      <c r="A30" s="78">
        <v>29</v>
      </c>
      <c r="B30" s="78" t="s">
        <v>340</v>
      </c>
      <c r="C30" s="78" t="s">
        <v>384</v>
      </c>
      <c r="D30" s="78" t="s">
        <v>344</v>
      </c>
      <c r="E30" s="78" t="s">
        <v>345</v>
      </c>
      <c r="F30" s="78" t="s">
        <v>349</v>
      </c>
      <c r="G30" s="78" t="s">
        <v>347</v>
      </c>
      <c r="H30" s="78" t="s">
        <v>317</v>
      </c>
      <c r="I30" s="78" t="s">
        <v>318</v>
      </c>
      <c r="J30" s="78" t="s">
        <v>385</v>
      </c>
      <c r="AB30" s="79" t="s">
        <v>659</v>
      </c>
      <c r="AC30" s="79" t="s">
        <v>660</v>
      </c>
    </row>
    <row r="31" spans="1:29" ht="13.5" customHeight="1">
      <c r="A31" s="78">
        <v>30</v>
      </c>
      <c r="B31" s="78" t="s">
        <v>340</v>
      </c>
      <c r="C31" s="78" t="s">
        <v>386</v>
      </c>
      <c r="D31" s="78" t="s">
        <v>344</v>
      </c>
      <c r="E31" s="78" t="s">
        <v>345</v>
      </c>
      <c r="F31" s="78" t="s">
        <v>347</v>
      </c>
      <c r="AB31" s="79" t="s">
        <v>659</v>
      </c>
      <c r="AC31" s="79" t="s">
        <v>660</v>
      </c>
    </row>
    <row r="32" spans="1:29" ht="13.5" customHeight="1">
      <c r="A32" s="78">
        <v>31</v>
      </c>
      <c r="B32" s="78" t="s">
        <v>340</v>
      </c>
      <c r="C32" s="78" t="s">
        <v>387</v>
      </c>
      <c r="D32" s="78" t="s">
        <v>344</v>
      </c>
      <c r="E32" s="78" t="s">
        <v>388</v>
      </c>
      <c r="F32" s="78" t="s">
        <v>349</v>
      </c>
      <c r="AB32" s="79" t="s">
        <v>659</v>
      </c>
      <c r="AC32" s="79" t="s">
        <v>660</v>
      </c>
    </row>
    <row r="33" spans="1:29" ht="13.5" customHeight="1">
      <c r="A33" s="78">
        <v>32</v>
      </c>
      <c r="B33" s="78" t="s">
        <v>340</v>
      </c>
      <c r="C33" s="78" t="s">
        <v>389</v>
      </c>
      <c r="D33" s="78" t="s">
        <v>344</v>
      </c>
      <c r="E33" s="78" t="s">
        <v>388</v>
      </c>
      <c r="F33" s="78" t="s">
        <v>354</v>
      </c>
      <c r="G33" s="78" t="s">
        <v>390</v>
      </c>
      <c r="AB33" s="79" t="s">
        <v>659</v>
      </c>
      <c r="AC33" s="79" t="s">
        <v>660</v>
      </c>
    </row>
    <row r="34" spans="1:29" ht="13.5" customHeight="1">
      <c r="A34" s="78">
        <v>33</v>
      </c>
      <c r="B34" s="78" t="s">
        <v>340</v>
      </c>
      <c r="C34" s="78" t="s">
        <v>391</v>
      </c>
      <c r="D34" s="78" t="s">
        <v>344</v>
      </c>
      <c r="E34" s="78" t="s">
        <v>346</v>
      </c>
      <c r="F34" s="78" t="s">
        <v>347</v>
      </c>
      <c r="AB34" s="79" t="s">
        <v>659</v>
      </c>
      <c r="AC34" s="79" t="s">
        <v>660</v>
      </c>
    </row>
    <row r="35" spans="1:29" ht="13.5" customHeight="1">
      <c r="A35" s="78">
        <v>34</v>
      </c>
      <c r="B35" s="78" t="s">
        <v>340</v>
      </c>
      <c r="C35" s="78" t="s">
        <v>392</v>
      </c>
      <c r="D35" s="78" t="s">
        <v>344</v>
      </c>
      <c r="E35" s="78" t="s">
        <v>349</v>
      </c>
      <c r="AB35" s="79" t="s">
        <v>659</v>
      </c>
      <c r="AC35" s="79" t="s">
        <v>660</v>
      </c>
    </row>
    <row r="36" spans="1:29" ht="13.5" customHeight="1">
      <c r="A36" s="78">
        <v>35</v>
      </c>
      <c r="B36" s="78" t="s">
        <v>340</v>
      </c>
      <c r="C36" s="78" t="s">
        <v>393</v>
      </c>
      <c r="D36" s="78" t="s">
        <v>344</v>
      </c>
      <c r="E36" s="78" t="s">
        <v>349</v>
      </c>
      <c r="F36" s="78" t="s">
        <v>347</v>
      </c>
      <c r="AB36" s="79" t="s">
        <v>659</v>
      </c>
      <c r="AC36" s="79" t="s">
        <v>660</v>
      </c>
    </row>
    <row r="37" spans="1:29" ht="13.5" customHeight="1">
      <c r="A37" s="78">
        <v>36</v>
      </c>
      <c r="B37" s="78" t="s">
        <v>340</v>
      </c>
      <c r="C37" s="78" t="s">
        <v>394</v>
      </c>
      <c r="D37" s="78" t="s">
        <v>344</v>
      </c>
      <c r="E37" s="78" t="s">
        <v>347</v>
      </c>
      <c r="AB37" s="79" t="s">
        <v>659</v>
      </c>
      <c r="AC37" s="79" t="s">
        <v>660</v>
      </c>
    </row>
    <row r="38" spans="1:29" ht="13.5" customHeight="1">
      <c r="A38" s="78">
        <v>37</v>
      </c>
      <c r="B38" s="78" t="s">
        <v>340</v>
      </c>
      <c r="C38" s="78" t="s">
        <v>395</v>
      </c>
      <c r="D38" s="78" t="s">
        <v>345</v>
      </c>
      <c r="E38" s="78" t="s">
        <v>346</v>
      </c>
      <c r="F38" s="78" t="s">
        <v>347</v>
      </c>
      <c r="AB38" s="79" t="s">
        <v>659</v>
      </c>
      <c r="AC38" s="79" t="s">
        <v>660</v>
      </c>
    </row>
    <row r="39" spans="1:29" ht="13.5" customHeight="1">
      <c r="A39" s="78">
        <v>38</v>
      </c>
      <c r="B39" s="78" t="s">
        <v>340</v>
      </c>
      <c r="C39" s="78" t="s">
        <v>396</v>
      </c>
      <c r="D39" s="78" t="s">
        <v>345</v>
      </c>
      <c r="E39" s="78" t="s">
        <v>346</v>
      </c>
      <c r="F39" s="78" t="s">
        <v>347</v>
      </c>
      <c r="G39" s="78" t="s">
        <v>366</v>
      </c>
      <c r="H39" s="78" t="s">
        <v>318</v>
      </c>
      <c r="I39" s="78" t="s">
        <v>319</v>
      </c>
      <c r="J39" s="78" t="s">
        <v>320</v>
      </c>
      <c r="K39" s="78" t="s">
        <v>321</v>
      </c>
      <c r="AB39" s="79" t="s">
        <v>659</v>
      </c>
      <c r="AC39" s="79" t="s">
        <v>660</v>
      </c>
    </row>
    <row r="40" spans="1:29" ht="13.5" customHeight="1">
      <c r="A40" s="78">
        <v>39</v>
      </c>
      <c r="B40" s="78" t="s">
        <v>340</v>
      </c>
      <c r="C40" s="78" t="s">
        <v>397</v>
      </c>
      <c r="D40" s="78" t="s">
        <v>345</v>
      </c>
      <c r="E40" s="78" t="s">
        <v>346</v>
      </c>
      <c r="F40" s="78" t="s">
        <v>347</v>
      </c>
      <c r="G40" s="78" t="s">
        <v>317</v>
      </c>
      <c r="AB40" s="79" t="s">
        <v>659</v>
      </c>
      <c r="AC40" s="79" t="s">
        <v>660</v>
      </c>
    </row>
    <row r="41" spans="1:29" ht="13.5" customHeight="1">
      <c r="A41" s="78">
        <v>40</v>
      </c>
      <c r="B41" s="78" t="s">
        <v>340</v>
      </c>
      <c r="C41" s="78" t="s">
        <v>398</v>
      </c>
      <c r="D41" s="78" t="s">
        <v>345</v>
      </c>
      <c r="E41" s="78" t="s">
        <v>346</v>
      </c>
      <c r="F41" s="78" t="s">
        <v>347</v>
      </c>
      <c r="G41" s="78" t="s">
        <v>317</v>
      </c>
      <c r="H41" s="78" t="s">
        <v>367</v>
      </c>
      <c r="I41" s="78" t="s">
        <v>319</v>
      </c>
      <c r="J41" s="78" t="s">
        <v>320</v>
      </c>
      <c r="AB41" s="79" t="s">
        <v>659</v>
      </c>
      <c r="AC41" s="79" t="s">
        <v>660</v>
      </c>
    </row>
    <row r="42" spans="1:29" ht="13.5" customHeight="1">
      <c r="A42" s="78">
        <v>41</v>
      </c>
      <c r="B42" s="78" t="s">
        <v>340</v>
      </c>
      <c r="C42" s="78" t="s">
        <v>399</v>
      </c>
      <c r="D42" s="78" t="s">
        <v>345</v>
      </c>
      <c r="E42" s="78" t="s">
        <v>346</v>
      </c>
      <c r="F42" s="78" t="s">
        <v>347</v>
      </c>
      <c r="G42" s="78" t="s">
        <v>317</v>
      </c>
      <c r="H42" s="78" t="s">
        <v>318</v>
      </c>
      <c r="I42" s="78" t="s">
        <v>319</v>
      </c>
      <c r="J42" s="78" t="s">
        <v>320</v>
      </c>
      <c r="K42" s="78" t="s">
        <v>321</v>
      </c>
      <c r="L42" s="78" t="s">
        <v>322</v>
      </c>
      <c r="AB42" s="79" t="s">
        <v>659</v>
      </c>
      <c r="AC42" s="79" t="s">
        <v>660</v>
      </c>
    </row>
    <row r="43" spans="1:29" ht="13.5" customHeight="1">
      <c r="A43" s="78">
        <v>42</v>
      </c>
      <c r="B43" s="78" t="s">
        <v>340</v>
      </c>
      <c r="C43" s="78" t="s">
        <v>400</v>
      </c>
      <c r="D43" s="78" t="s">
        <v>345</v>
      </c>
      <c r="E43" s="78" t="s">
        <v>349</v>
      </c>
      <c r="AB43" s="79" t="s">
        <v>659</v>
      </c>
      <c r="AC43" s="79" t="s">
        <v>660</v>
      </c>
    </row>
    <row r="44" spans="1:29" ht="13.5" customHeight="1">
      <c r="A44" s="78">
        <v>43</v>
      </c>
      <c r="B44" s="78" t="s">
        <v>340</v>
      </c>
      <c r="C44" s="78" t="s">
        <v>401</v>
      </c>
      <c r="D44" s="78" t="s">
        <v>345</v>
      </c>
      <c r="E44" s="78" t="s">
        <v>349</v>
      </c>
      <c r="AB44" s="79" t="s">
        <v>659</v>
      </c>
      <c r="AC44" s="79" t="s">
        <v>660</v>
      </c>
    </row>
    <row r="45" spans="1:29" ht="13.5" customHeight="1">
      <c r="A45" s="78">
        <v>44</v>
      </c>
      <c r="B45" s="78" t="s">
        <v>340</v>
      </c>
      <c r="C45" s="78" t="s">
        <v>402</v>
      </c>
      <c r="D45" s="78" t="s">
        <v>345</v>
      </c>
      <c r="E45" s="78" t="s">
        <v>349</v>
      </c>
      <c r="F45" s="78" t="s">
        <v>403</v>
      </c>
      <c r="AB45" s="79" t="s">
        <v>659</v>
      </c>
      <c r="AC45" s="79" t="s">
        <v>660</v>
      </c>
    </row>
    <row r="46" spans="1:29" ht="13.5" customHeight="1">
      <c r="A46" s="78">
        <v>45</v>
      </c>
      <c r="B46" s="78" t="s">
        <v>340</v>
      </c>
      <c r="C46" s="78" t="s">
        <v>404</v>
      </c>
      <c r="D46" s="78" t="s">
        <v>345</v>
      </c>
      <c r="E46" s="78" t="s">
        <v>349</v>
      </c>
      <c r="F46" s="78" t="s">
        <v>347</v>
      </c>
      <c r="AB46" s="79" t="s">
        <v>659</v>
      </c>
      <c r="AC46" s="79" t="s">
        <v>660</v>
      </c>
    </row>
    <row r="47" spans="1:29" ht="13.5" customHeight="1">
      <c r="A47" s="80">
        <v>46</v>
      </c>
      <c r="B47" s="80" t="s">
        <v>405</v>
      </c>
      <c r="C47" s="80" t="s">
        <v>406</v>
      </c>
      <c r="D47" s="80" t="s">
        <v>345</v>
      </c>
      <c r="E47" s="80" t="s">
        <v>349</v>
      </c>
      <c r="F47" s="80" t="s">
        <v>347</v>
      </c>
      <c r="AB47" s="79" t="s">
        <v>659</v>
      </c>
      <c r="AC47" s="79" t="s">
        <v>660</v>
      </c>
    </row>
    <row r="48" spans="1:29" ht="13.5" customHeight="1">
      <c r="A48" s="78">
        <v>47</v>
      </c>
      <c r="B48" s="78" t="s">
        <v>340</v>
      </c>
      <c r="C48" s="78" t="s">
        <v>407</v>
      </c>
      <c r="D48" s="78" t="s">
        <v>345</v>
      </c>
      <c r="E48" s="78" t="s">
        <v>349</v>
      </c>
      <c r="F48" s="78" t="s">
        <v>347</v>
      </c>
      <c r="AB48" s="79" t="s">
        <v>659</v>
      </c>
      <c r="AC48" s="79" t="s">
        <v>660</v>
      </c>
    </row>
    <row r="49" spans="1:29" ht="13.5" customHeight="1">
      <c r="A49" s="78">
        <v>48</v>
      </c>
      <c r="B49" s="78" t="s">
        <v>340</v>
      </c>
      <c r="C49" s="78" t="s">
        <v>408</v>
      </c>
      <c r="D49" s="78" t="s">
        <v>345</v>
      </c>
      <c r="E49" s="78" t="s">
        <v>349</v>
      </c>
      <c r="F49" s="78" t="s">
        <v>347</v>
      </c>
      <c r="G49" s="78" t="s">
        <v>390</v>
      </c>
      <c r="H49" s="78" t="s">
        <v>317</v>
      </c>
      <c r="I49" s="78" t="s">
        <v>318</v>
      </c>
      <c r="J49" s="78" t="s">
        <v>319</v>
      </c>
      <c r="K49" s="78" t="s">
        <v>320</v>
      </c>
      <c r="L49" s="78" t="s">
        <v>321</v>
      </c>
      <c r="M49" s="78" t="s">
        <v>322</v>
      </c>
      <c r="N49" s="78" t="s">
        <v>323</v>
      </c>
      <c r="O49" s="78" t="s">
        <v>324</v>
      </c>
      <c r="P49" s="78" t="s">
        <v>325</v>
      </c>
      <c r="Q49" s="78" t="s">
        <v>326</v>
      </c>
      <c r="R49" s="78" t="s">
        <v>327</v>
      </c>
      <c r="AB49" s="79" t="s">
        <v>659</v>
      </c>
      <c r="AC49" s="79" t="s">
        <v>660</v>
      </c>
    </row>
    <row r="50" spans="1:29" ht="13.5" customHeight="1">
      <c r="A50" s="78">
        <v>49</v>
      </c>
      <c r="B50" s="78" t="s">
        <v>340</v>
      </c>
      <c r="C50" s="78" t="s">
        <v>409</v>
      </c>
      <c r="D50" s="78" t="s">
        <v>345</v>
      </c>
      <c r="E50" s="78" t="s">
        <v>349</v>
      </c>
      <c r="F50" s="78" t="s">
        <v>347</v>
      </c>
      <c r="G50" s="78" t="s">
        <v>390</v>
      </c>
      <c r="H50" s="78" t="s">
        <v>317</v>
      </c>
      <c r="I50" s="78" t="s">
        <v>318</v>
      </c>
      <c r="J50" s="78" t="s">
        <v>319</v>
      </c>
      <c r="K50" s="78" t="s">
        <v>320</v>
      </c>
      <c r="L50" s="78" t="s">
        <v>321</v>
      </c>
      <c r="M50" s="78" t="s">
        <v>322</v>
      </c>
      <c r="N50" s="78" t="s">
        <v>323</v>
      </c>
      <c r="O50" s="78" t="s">
        <v>324</v>
      </c>
      <c r="P50" s="78" t="s">
        <v>325</v>
      </c>
      <c r="Q50" s="78" t="s">
        <v>326</v>
      </c>
      <c r="R50" s="78" t="s">
        <v>327</v>
      </c>
      <c r="S50" s="78" t="s">
        <v>385</v>
      </c>
      <c r="AB50" s="79" t="s">
        <v>659</v>
      </c>
      <c r="AC50" s="79" t="s">
        <v>660</v>
      </c>
    </row>
    <row r="51" spans="1:29" ht="13.5" customHeight="1">
      <c r="A51" s="78">
        <v>50</v>
      </c>
      <c r="B51" s="78" t="s">
        <v>340</v>
      </c>
      <c r="C51" s="78" t="s">
        <v>410</v>
      </c>
      <c r="D51" s="78" t="s">
        <v>345</v>
      </c>
      <c r="E51" s="78" t="s">
        <v>349</v>
      </c>
      <c r="F51" s="78" t="s">
        <v>347</v>
      </c>
      <c r="G51" s="78" t="s">
        <v>366</v>
      </c>
      <c r="H51" s="78" t="s">
        <v>367</v>
      </c>
      <c r="I51" s="78" t="s">
        <v>368</v>
      </c>
      <c r="J51" s="78" t="s">
        <v>411</v>
      </c>
      <c r="K51" s="78" t="s">
        <v>412</v>
      </c>
      <c r="L51" s="78" t="s">
        <v>322</v>
      </c>
      <c r="AB51" s="79" t="s">
        <v>659</v>
      </c>
      <c r="AC51" s="79" t="s">
        <v>660</v>
      </c>
    </row>
    <row r="52" spans="1:29" ht="13.5" customHeight="1">
      <c r="A52" s="78">
        <v>51</v>
      </c>
      <c r="B52" s="78" t="s">
        <v>340</v>
      </c>
      <c r="C52" s="78" t="s">
        <v>413</v>
      </c>
      <c r="D52" s="78" t="s">
        <v>345</v>
      </c>
      <c r="E52" s="78" t="s">
        <v>349</v>
      </c>
      <c r="F52" s="78" t="s">
        <v>347</v>
      </c>
      <c r="G52" s="78" t="s">
        <v>366</v>
      </c>
      <c r="H52" s="78" t="s">
        <v>318</v>
      </c>
      <c r="I52" s="78" t="s">
        <v>319</v>
      </c>
      <c r="J52" s="78" t="s">
        <v>320</v>
      </c>
      <c r="K52" s="78" t="s">
        <v>321</v>
      </c>
      <c r="L52" s="78" t="s">
        <v>322</v>
      </c>
      <c r="M52" s="78" t="s">
        <v>323</v>
      </c>
      <c r="N52" s="78" t="s">
        <v>324</v>
      </c>
      <c r="AB52" s="79" t="s">
        <v>659</v>
      </c>
      <c r="AC52" s="79" t="s">
        <v>660</v>
      </c>
    </row>
    <row r="53" spans="1:29" ht="13.5" customHeight="1">
      <c r="A53" s="78">
        <v>52</v>
      </c>
      <c r="B53" s="78" t="s">
        <v>340</v>
      </c>
      <c r="C53" s="78" t="s">
        <v>414</v>
      </c>
      <c r="D53" s="78" t="s">
        <v>345</v>
      </c>
      <c r="E53" s="78" t="s">
        <v>349</v>
      </c>
      <c r="F53" s="78" t="s">
        <v>347</v>
      </c>
      <c r="G53" s="78" t="s">
        <v>317</v>
      </c>
      <c r="AB53" s="79" t="s">
        <v>659</v>
      </c>
      <c r="AC53" s="79" t="s">
        <v>660</v>
      </c>
    </row>
    <row r="54" spans="1:29" ht="13.5" customHeight="1">
      <c r="A54" s="78">
        <v>53</v>
      </c>
      <c r="B54" s="78" t="s">
        <v>340</v>
      </c>
      <c r="C54" s="78" t="s">
        <v>415</v>
      </c>
      <c r="D54" s="78" t="s">
        <v>345</v>
      </c>
      <c r="E54" s="78" t="s">
        <v>349</v>
      </c>
      <c r="F54" s="78" t="s">
        <v>347</v>
      </c>
      <c r="G54" s="78" t="s">
        <v>317</v>
      </c>
      <c r="AB54" s="79" t="s">
        <v>659</v>
      </c>
      <c r="AC54" s="79" t="s">
        <v>660</v>
      </c>
    </row>
    <row r="55" spans="1:29" ht="13.5" customHeight="1">
      <c r="A55" s="78">
        <v>54</v>
      </c>
      <c r="B55" s="78" t="s">
        <v>340</v>
      </c>
      <c r="C55" s="78" t="s">
        <v>416</v>
      </c>
      <c r="D55" s="78" t="s">
        <v>345</v>
      </c>
      <c r="E55" s="78" t="s">
        <v>349</v>
      </c>
      <c r="F55" s="78" t="s">
        <v>347</v>
      </c>
      <c r="G55" s="78" t="s">
        <v>317</v>
      </c>
      <c r="AB55" s="79" t="s">
        <v>659</v>
      </c>
      <c r="AC55" s="79" t="s">
        <v>660</v>
      </c>
    </row>
    <row r="56" spans="1:29" ht="13.5" customHeight="1">
      <c r="A56" s="78">
        <v>55</v>
      </c>
      <c r="B56" s="78" t="s">
        <v>340</v>
      </c>
      <c r="C56" s="78" t="s">
        <v>417</v>
      </c>
      <c r="D56" s="78" t="s">
        <v>345</v>
      </c>
      <c r="E56" s="78" t="s">
        <v>349</v>
      </c>
      <c r="F56" s="78" t="s">
        <v>347</v>
      </c>
      <c r="G56" s="78" t="s">
        <v>317</v>
      </c>
      <c r="H56" s="78" t="s">
        <v>367</v>
      </c>
      <c r="I56" s="78" t="s">
        <v>368</v>
      </c>
      <c r="J56" s="78" t="s">
        <v>320</v>
      </c>
      <c r="AB56" s="79" t="s">
        <v>659</v>
      </c>
      <c r="AC56" s="79" t="s">
        <v>660</v>
      </c>
    </row>
    <row r="57" spans="1:29" ht="13.5" customHeight="1">
      <c r="A57" s="78">
        <v>56</v>
      </c>
      <c r="B57" s="78" t="s">
        <v>340</v>
      </c>
      <c r="C57" s="78" t="s">
        <v>418</v>
      </c>
      <c r="D57" s="78" t="s">
        <v>345</v>
      </c>
      <c r="E57" s="78" t="s">
        <v>349</v>
      </c>
      <c r="F57" s="78" t="s">
        <v>347</v>
      </c>
      <c r="G57" s="78" t="s">
        <v>317</v>
      </c>
      <c r="H57" s="78" t="s">
        <v>318</v>
      </c>
      <c r="AB57" s="79" t="s">
        <v>659</v>
      </c>
      <c r="AC57" s="79" t="s">
        <v>660</v>
      </c>
    </row>
    <row r="58" spans="1:29" ht="13.5" customHeight="1">
      <c r="A58" s="78">
        <v>57</v>
      </c>
      <c r="B58" s="78" t="s">
        <v>340</v>
      </c>
      <c r="C58" s="78" t="s">
        <v>419</v>
      </c>
      <c r="D58" s="78" t="s">
        <v>345</v>
      </c>
      <c r="E58" s="78" t="s">
        <v>349</v>
      </c>
      <c r="F58" s="78" t="s">
        <v>347</v>
      </c>
      <c r="G58" s="78" t="s">
        <v>317</v>
      </c>
      <c r="H58" s="78" t="s">
        <v>318</v>
      </c>
      <c r="AB58" s="79" t="s">
        <v>659</v>
      </c>
      <c r="AC58" s="79" t="s">
        <v>660</v>
      </c>
    </row>
    <row r="59" spans="1:29" ht="13.5" customHeight="1">
      <c r="A59" s="78">
        <v>58</v>
      </c>
      <c r="B59" s="78" t="s">
        <v>340</v>
      </c>
      <c r="C59" s="78" t="s">
        <v>420</v>
      </c>
      <c r="D59" s="78" t="s">
        <v>345</v>
      </c>
      <c r="E59" s="78" t="s">
        <v>349</v>
      </c>
      <c r="F59" s="78" t="s">
        <v>347</v>
      </c>
      <c r="G59" s="78" t="s">
        <v>317</v>
      </c>
      <c r="H59" s="78" t="s">
        <v>318</v>
      </c>
      <c r="I59" s="78" t="s">
        <v>319</v>
      </c>
      <c r="AB59" s="79" t="s">
        <v>659</v>
      </c>
      <c r="AC59" s="79" t="s">
        <v>660</v>
      </c>
    </row>
    <row r="60" spans="1:29" ht="13.5" customHeight="1">
      <c r="A60" s="78">
        <v>59</v>
      </c>
      <c r="B60" s="78" t="s">
        <v>340</v>
      </c>
      <c r="C60" s="78" t="s">
        <v>421</v>
      </c>
      <c r="D60" s="78" t="s">
        <v>345</v>
      </c>
      <c r="E60" s="78" t="s">
        <v>349</v>
      </c>
      <c r="F60" s="78" t="s">
        <v>347</v>
      </c>
      <c r="G60" s="78" t="s">
        <v>317</v>
      </c>
      <c r="H60" s="78" t="s">
        <v>318</v>
      </c>
      <c r="I60" s="78" t="s">
        <v>319</v>
      </c>
      <c r="AB60" s="79" t="s">
        <v>659</v>
      </c>
      <c r="AC60" s="79" t="s">
        <v>660</v>
      </c>
    </row>
    <row r="61" spans="1:29" ht="13.5" customHeight="1">
      <c r="A61" s="78">
        <v>60</v>
      </c>
      <c r="B61" s="78" t="s">
        <v>340</v>
      </c>
      <c r="C61" s="78" t="s">
        <v>422</v>
      </c>
      <c r="D61" s="78" t="s">
        <v>345</v>
      </c>
      <c r="E61" s="78" t="s">
        <v>349</v>
      </c>
      <c r="F61" s="78" t="s">
        <v>347</v>
      </c>
      <c r="G61" s="78" t="s">
        <v>317</v>
      </c>
      <c r="H61" s="78" t="s">
        <v>318</v>
      </c>
      <c r="I61" s="78" t="s">
        <v>319</v>
      </c>
      <c r="J61" s="78" t="s">
        <v>320</v>
      </c>
      <c r="AB61" s="79" t="s">
        <v>659</v>
      </c>
      <c r="AC61" s="79" t="s">
        <v>660</v>
      </c>
    </row>
    <row r="62" spans="1:29" ht="13.5" customHeight="1">
      <c r="A62" s="78">
        <v>61</v>
      </c>
      <c r="B62" s="78" t="s">
        <v>340</v>
      </c>
      <c r="C62" s="78" t="s">
        <v>423</v>
      </c>
      <c r="D62" s="78" t="s">
        <v>345</v>
      </c>
      <c r="E62" s="78" t="s">
        <v>349</v>
      </c>
      <c r="F62" s="78" t="s">
        <v>347</v>
      </c>
      <c r="G62" s="78" t="s">
        <v>317</v>
      </c>
      <c r="H62" s="78" t="s">
        <v>318</v>
      </c>
      <c r="I62" s="78" t="s">
        <v>319</v>
      </c>
      <c r="J62" s="78" t="s">
        <v>320</v>
      </c>
      <c r="K62" s="78" t="s">
        <v>321</v>
      </c>
      <c r="AB62" s="79" t="s">
        <v>659</v>
      </c>
      <c r="AC62" s="79" t="s">
        <v>660</v>
      </c>
    </row>
    <row r="63" spans="1:29" ht="13.5" customHeight="1">
      <c r="A63" s="78">
        <v>62</v>
      </c>
      <c r="B63" s="78" t="s">
        <v>340</v>
      </c>
      <c r="C63" s="78" t="s">
        <v>424</v>
      </c>
      <c r="D63" s="78" t="s">
        <v>345</v>
      </c>
      <c r="E63" s="78" t="s">
        <v>349</v>
      </c>
      <c r="F63" s="78" t="s">
        <v>347</v>
      </c>
      <c r="G63" s="78" t="s">
        <v>317</v>
      </c>
      <c r="H63" s="78" t="s">
        <v>318</v>
      </c>
      <c r="I63" s="78" t="s">
        <v>319</v>
      </c>
      <c r="J63" s="78" t="s">
        <v>320</v>
      </c>
      <c r="K63" s="78" t="s">
        <v>321</v>
      </c>
      <c r="AB63" s="79" t="s">
        <v>659</v>
      </c>
      <c r="AC63" s="79" t="s">
        <v>660</v>
      </c>
    </row>
    <row r="64" spans="1:29" ht="13.5" customHeight="1">
      <c r="A64" s="78">
        <v>63</v>
      </c>
      <c r="B64" s="78" t="s">
        <v>340</v>
      </c>
      <c r="C64" s="78" t="s">
        <v>425</v>
      </c>
      <c r="D64" s="78" t="s">
        <v>345</v>
      </c>
      <c r="E64" s="78" t="s">
        <v>349</v>
      </c>
      <c r="F64" s="78" t="s">
        <v>347</v>
      </c>
      <c r="G64" s="78" t="s">
        <v>317</v>
      </c>
      <c r="H64" s="78" t="s">
        <v>318</v>
      </c>
      <c r="I64" s="78" t="s">
        <v>319</v>
      </c>
      <c r="J64" s="78" t="s">
        <v>320</v>
      </c>
      <c r="K64" s="78" t="s">
        <v>321</v>
      </c>
      <c r="L64" s="78" t="s">
        <v>322</v>
      </c>
      <c r="AB64" s="79" t="s">
        <v>659</v>
      </c>
      <c r="AC64" s="79" t="s">
        <v>660</v>
      </c>
    </row>
    <row r="65" spans="1:29" ht="13.5" customHeight="1">
      <c r="A65" s="80">
        <v>64</v>
      </c>
      <c r="B65" s="80" t="s">
        <v>405</v>
      </c>
      <c r="C65" s="80" t="s">
        <v>426</v>
      </c>
      <c r="D65" s="80" t="s">
        <v>345</v>
      </c>
      <c r="E65" s="80" t="s">
        <v>349</v>
      </c>
      <c r="F65" s="80" t="s">
        <v>347</v>
      </c>
      <c r="G65" s="80" t="s">
        <v>317</v>
      </c>
      <c r="H65" s="80" t="s">
        <v>318</v>
      </c>
      <c r="I65" s="80" t="s">
        <v>319</v>
      </c>
      <c r="J65" s="80" t="s">
        <v>320</v>
      </c>
      <c r="K65" s="80" t="s">
        <v>321</v>
      </c>
      <c r="L65" s="80" t="s">
        <v>322</v>
      </c>
      <c r="AB65" s="79" t="s">
        <v>659</v>
      </c>
      <c r="AC65" s="79" t="s">
        <v>660</v>
      </c>
    </row>
    <row r="66" spans="1:29" ht="13.5" customHeight="1">
      <c r="A66" s="78">
        <v>65</v>
      </c>
      <c r="B66" s="78" t="s">
        <v>340</v>
      </c>
      <c r="C66" s="78" t="s">
        <v>427</v>
      </c>
      <c r="D66" s="78" t="s">
        <v>345</v>
      </c>
      <c r="E66" s="78" t="s">
        <v>349</v>
      </c>
      <c r="F66" s="78" t="s">
        <v>347</v>
      </c>
      <c r="G66" s="78" t="s">
        <v>317</v>
      </c>
      <c r="H66" s="78" t="s">
        <v>318</v>
      </c>
      <c r="I66" s="78" t="s">
        <v>319</v>
      </c>
      <c r="J66" s="78" t="s">
        <v>320</v>
      </c>
      <c r="K66" s="78" t="s">
        <v>321</v>
      </c>
      <c r="L66" s="78" t="s">
        <v>322</v>
      </c>
      <c r="AB66" s="79" t="s">
        <v>659</v>
      </c>
      <c r="AC66" s="79" t="s">
        <v>660</v>
      </c>
    </row>
    <row r="67" spans="1:29" ht="13.5" customHeight="1">
      <c r="A67" s="78">
        <v>66</v>
      </c>
      <c r="B67" s="78" t="s">
        <v>340</v>
      </c>
      <c r="C67" s="78" t="s">
        <v>428</v>
      </c>
      <c r="D67" s="78" t="s">
        <v>345</v>
      </c>
      <c r="E67" s="78" t="s">
        <v>349</v>
      </c>
      <c r="F67" s="78" t="s">
        <v>347</v>
      </c>
      <c r="G67" s="78" t="s">
        <v>317</v>
      </c>
      <c r="H67" s="78" t="s">
        <v>318</v>
      </c>
      <c r="I67" s="78" t="s">
        <v>319</v>
      </c>
      <c r="J67" s="78" t="s">
        <v>320</v>
      </c>
      <c r="K67" s="78" t="s">
        <v>321</v>
      </c>
      <c r="L67" s="78" t="s">
        <v>322</v>
      </c>
      <c r="M67" s="78" t="s">
        <v>323</v>
      </c>
      <c r="AB67" s="79" t="s">
        <v>659</v>
      </c>
      <c r="AC67" s="79" t="s">
        <v>660</v>
      </c>
    </row>
    <row r="68" spans="1:29" ht="13.5" customHeight="1">
      <c r="A68" s="78">
        <v>67</v>
      </c>
      <c r="B68" s="78" t="s">
        <v>340</v>
      </c>
      <c r="C68" s="78" t="s">
        <v>429</v>
      </c>
      <c r="D68" s="78" t="s">
        <v>345</v>
      </c>
      <c r="E68" s="78" t="s">
        <v>349</v>
      </c>
      <c r="F68" s="78" t="s">
        <v>347</v>
      </c>
      <c r="G68" s="78" t="s">
        <v>317</v>
      </c>
      <c r="H68" s="78" t="s">
        <v>318</v>
      </c>
      <c r="I68" s="78" t="s">
        <v>319</v>
      </c>
      <c r="J68" s="78" t="s">
        <v>320</v>
      </c>
      <c r="K68" s="78" t="s">
        <v>321</v>
      </c>
      <c r="L68" s="78" t="s">
        <v>322</v>
      </c>
      <c r="M68" s="78" t="s">
        <v>323</v>
      </c>
      <c r="AB68" s="79" t="s">
        <v>659</v>
      </c>
      <c r="AC68" s="79" t="s">
        <v>660</v>
      </c>
    </row>
    <row r="69" spans="1:29" ht="13.5" customHeight="1">
      <c r="A69" s="80">
        <v>68</v>
      </c>
      <c r="B69" s="80" t="s">
        <v>405</v>
      </c>
      <c r="C69" s="80" t="s">
        <v>430</v>
      </c>
      <c r="D69" s="80" t="s">
        <v>345</v>
      </c>
      <c r="E69" s="80" t="s">
        <v>349</v>
      </c>
      <c r="F69" s="80" t="s">
        <v>347</v>
      </c>
      <c r="G69" s="80" t="s">
        <v>317</v>
      </c>
      <c r="H69" s="80" t="s">
        <v>318</v>
      </c>
      <c r="I69" s="80" t="s">
        <v>319</v>
      </c>
      <c r="J69" s="80" t="s">
        <v>320</v>
      </c>
      <c r="K69" s="80" t="s">
        <v>321</v>
      </c>
      <c r="L69" s="80" t="s">
        <v>322</v>
      </c>
      <c r="M69" s="80" t="s">
        <v>323</v>
      </c>
      <c r="N69" s="80" t="s">
        <v>324</v>
      </c>
      <c r="AB69" s="79" t="s">
        <v>659</v>
      </c>
      <c r="AC69" s="79" t="s">
        <v>660</v>
      </c>
    </row>
    <row r="70" spans="1:29" ht="13.5" customHeight="1">
      <c r="A70" s="80">
        <v>69</v>
      </c>
      <c r="B70" s="80" t="s">
        <v>405</v>
      </c>
      <c r="C70" s="80" t="s">
        <v>431</v>
      </c>
      <c r="D70" s="80" t="s">
        <v>345</v>
      </c>
      <c r="E70" s="80" t="s">
        <v>349</v>
      </c>
      <c r="F70" s="80" t="s">
        <v>347</v>
      </c>
      <c r="G70" s="80" t="s">
        <v>317</v>
      </c>
      <c r="H70" s="80" t="s">
        <v>318</v>
      </c>
      <c r="I70" s="80" t="s">
        <v>319</v>
      </c>
      <c r="J70" s="80" t="s">
        <v>320</v>
      </c>
      <c r="K70" s="80" t="s">
        <v>321</v>
      </c>
      <c r="L70" s="80" t="s">
        <v>322</v>
      </c>
      <c r="M70" s="80" t="s">
        <v>323</v>
      </c>
      <c r="N70" s="80" t="s">
        <v>324</v>
      </c>
      <c r="O70" s="80" t="s">
        <v>325</v>
      </c>
      <c r="AB70" s="79" t="s">
        <v>659</v>
      </c>
      <c r="AC70" s="79" t="s">
        <v>660</v>
      </c>
    </row>
    <row r="71" spans="1:29" ht="13.5" customHeight="1">
      <c r="A71" s="78">
        <v>70</v>
      </c>
      <c r="B71" s="78" t="s">
        <v>340</v>
      </c>
      <c r="C71" s="78" t="s">
        <v>432</v>
      </c>
      <c r="D71" s="78" t="s">
        <v>345</v>
      </c>
      <c r="E71" s="78" t="s">
        <v>349</v>
      </c>
      <c r="F71" s="78" t="s">
        <v>347</v>
      </c>
      <c r="G71" s="78" t="s">
        <v>317</v>
      </c>
      <c r="H71" s="78" t="s">
        <v>318</v>
      </c>
      <c r="I71" s="78" t="s">
        <v>319</v>
      </c>
      <c r="J71" s="78" t="s">
        <v>320</v>
      </c>
      <c r="K71" s="78" t="s">
        <v>321</v>
      </c>
      <c r="L71" s="78" t="s">
        <v>322</v>
      </c>
      <c r="M71" s="78" t="s">
        <v>323</v>
      </c>
      <c r="N71" s="78" t="s">
        <v>324</v>
      </c>
      <c r="O71" s="78" t="s">
        <v>325</v>
      </c>
      <c r="P71" s="78" t="s">
        <v>326</v>
      </c>
      <c r="AB71" s="79" t="s">
        <v>659</v>
      </c>
      <c r="AC71" s="79" t="s">
        <v>660</v>
      </c>
    </row>
    <row r="72" spans="1:29" ht="13.5" customHeight="1">
      <c r="A72" s="80">
        <v>71</v>
      </c>
      <c r="B72" s="80" t="s">
        <v>405</v>
      </c>
      <c r="C72" s="80" t="s">
        <v>433</v>
      </c>
      <c r="D72" s="80" t="s">
        <v>345</v>
      </c>
      <c r="E72" s="80" t="s">
        <v>349</v>
      </c>
      <c r="F72" s="80" t="s">
        <v>347</v>
      </c>
      <c r="G72" s="80" t="s">
        <v>317</v>
      </c>
      <c r="H72" s="80" t="s">
        <v>318</v>
      </c>
      <c r="I72" s="80" t="s">
        <v>319</v>
      </c>
      <c r="J72" s="80" t="s">
        <v>320</v>
      </c>
      <c r="K72" s="80" t="s">
        <v>321</v>
      </c>
      <c r="L72" s="80" t="s">
        <v>322</v>
      </c>
      <c r="M72" s="80" t="s">
        <v>323</v>
      </c>
      <c r="N72" s="80" t="s">
        <v>324</v>
      </c>
      <c r="O72" s="80" t="s">
        <v>325</v>
      </c>
      <c r="P72" s="80" t="s">
        <v>326</v>
      </c>
      <c r="Q72" s="80" t="s">
        <v>327</v>
      </c>
      <c r="AB72" s="79" t="s">
        <v>659</v>
      </c>
      <c r="AC72" s="79" t="s">
        <v>660</v>
      </c>
    </row>
    <row r="73" spans="1:29" ht="13.5" customHeight="1">
      <c r="A73" s="80">
        <v>72</v>
      </c>
      <c r="B73" s="80" t="s">
        <v>405</v>
      </c>
      <c r="C73" s="80" t="s">
        <v>434</v>
      </c>
      <c r="D73" s="80" t="s">
        <v>345</v>
      </c>
      <c r="E73" s="80" t="s">
        <v>349</v>
      </c>
      <c r="F73" s="80" t="s">
        <v>347</v>
      </c>
      <c r="G73" s="80" t="s">
        <v>317</v>
      </c>
      <c r="H73" s="80" t="s">
        <v>318</v>
      </c>
      <c r="I73" s="80" t="s">
        <v>319</v>
      </c>
      <c r="J73" s="80" t="s">
        <v>320</v>
      </c>
      <c r="K73" s="80" t="s">
        <v>321</v>
      </c>
      <c r="L73" s="80" t="s">
        <v>322</v>
      </c>
      <c r="M73" s="80" t="s">
        <v>323</v>
      </c>
      <c r="N73" s="80" t="s">
        <v>324</v>
      </c>
      <c r="O73" s="80" t="s">
        <v>325</v>
      </c>
      <c r="P73" s="80" t="s">
        <v>326</v>
      </c>
      <c r="Q73" s="80" t="s">
        <v>327</v>
      </c>
      <c r="R73" s="80" t="s">
        <v>328</v>
      </c>
      <c r="AB73" s="79" t="s">
        <v>659</v>
      </c>
      <c r="AC73" s="79" t="s">
        <v>660</v>
      </c>
    </row>
    <row r="74" spans="1:29" ht="13.5" customHeight="1">
      <c r="A74" s="78">
        <v>73</v>
      </c>
      <c r="B74" s="78" t="s">
        <v>340</v>
      </c>
      <c r="C74" s="78" t="s">
        <v>435</v>
      </c>
      <c r="D74" s="78" t="s">
        <v>345</v>
      </c>
      <c r="E74" s="78" t="s">
        <v>349</v>
      </c>
      <c r="F74" s="78" t="s">
        <v>347</v>
      </c>
      <c r="G74" s="78" t="s">
        <v>317</v>
      </c>
      <c r="H74" s="78" t="s">
        <v>318</v>
      </c>
      <c r="I74" s="78" t="s">
        <v>319</v>
      </c>
      <c r="J74" s="78" t="s">
        <v>320</v>
      </c>
      <c r="K74" s="78" t="s">
        <v>321</v>
      </c>
      <c r="L74" s="78" t="s">
        <v>322</v>
      </c>
      <c r="M74" s="78" t="s">
        <v>323</v>
      </c>
      <c r="N74" s="78" t="s">
        <v>324</v>
      </c>
      <c r="O74" s="78" t="s">
        <v>325</v>
      </c>
      <c r="P74" s="78" t="s">
        <v>326</v>
      </c>
      <c r="Q74" s="78" t="s">
        <v>327</v>
      </c>
      <c r="R74" s="78" t="s">
        <v>328</v>
      </c>
      <c r="AB74" s="79" t="s">
        <v>659</v>
      </c>
      <c r="AC74" s="79" t="s">
        <v>660</v>
      </c>
    </row>
    <row r="75" spans="1:29" ht="13.5" customHeight="1">
      <c r="A75" s="80">
        <v>74</v>
      </c>
      <c r="B75" s="80" t="s">
        <v>405</v>
      </c>
      <c r="C75" s="80" t="s">
        <v>436</v>
      </c>
      <c r="D75" s="80" t="s">
        <v>345</v>
      </c>
      <c r="E75" s="80" t="s">
        <v>349</v>
      </c>
      <c r="F75" s="80" t="s">
        <v>347</v>
      </c>
      <c r="G75" s="80" t="s">
        <v>317</v>
      </c>
      <c r="H75" s="80" t="s">
        <v>318</v>
      </c>
      <c r="I75" s="80" t="s">
        <v>319</v>
      </c>
      <c r="J75" s="80" t="s">
        <v>320</v>
      </c>
      <c r="K75" s="80" t="s">
        <v>321</v>
      </c>
      <c r="L75" s="80" t="s">
        <v>322</v>
      </c>
      <c r="M75" s="80" t="s">
        <v>323</v>
      </c>
      <c r="N75" s="80" t="s">
        <v>324</v>
      </c>
      <c r="O75" s="80" t="s">
        <v>325</v>
      </c>
      <c r="P75" s="80" t="s">
        <v>326</v>
      </c>
      <c r="Q75" s="80" t="s">
        <v>327</v>
      </c>
      <c r="R75" s="80" t="s">
        <v>328</v>
      </c>
      <c r="S75" s="80" t="s">
        <v>329</v>
      </c>
      <c r="AB75" s="79" t="s">
        <v>659</v>
      </c>
      <c r="AC75" s="79" t="s">
        <v>660</v>
      </c>
    </row>
    <row r="76" spans="1:29" ht="13.5" customHeight="1">
      <c r="A76" s="80">
        <v>75</v>
      </c>
      <c r="B76" s="80" t="s">
        <v>405</v>
      </c>
      <c r="C76" s="80" t="s">
        <v>437</v>
      </c>
      <c r="D76" s="80" t="s">
        <v>345</v>
      </c>
      <c r="E76" s="80" t="s">
        <v>349</v>
      </c>
      <c r="F76" s="80" t="s">
        <v>347</v>
      </c>
      <c r="G76" s="80" t="s">
        <v>317</v>
      </c>
      <c r="H76" s="80" t="s">
        <v>318</v>
      </c>
      <c r="I76" s="80" t="s">
        <v>319</v>
      </c>
      <c r="J76" s="80" t="s">
        <v>320</v>
      </c>
      <c r="K76" s="80" t="s">
        <v>321</v>
      </c>
      <c r="L76" s="80" t="s">
        <v>322</v>
      </c>
      <c r="M76" s="80" t="s">
        <v>323</v>
      </c>
      <c r="N76" s="80" t="s">
        <v>324</v>
      </c>
      <c r="O76" s="80" t="s">
        <v>325</v>
      </c>
      <c r="P76" s="80" t="s">
        <v>326</v>
      </c>
      <c r="Q76" s="80" t="s">
        <v>327</v>
      </c>
      <c r="R76" s="80" t="s">
        <v>328</v>
      </c>
      <c r="S76" s="80" t="s">
        <v>329</v>
      </c>
      <c r="T76" s="80" t="s">
        <v>330</v>
      </c>
      <c r="AB76" s="79" t="s">
        <v>659</v>
      </c>
      <c r="AC76" s="79" t="s">
        <v>660</v>
      </c>
    </row>
    <row r="77" spans="1:29" ht="13.5" customHeight="1">
      <c r="A77" s="80">
        <v>76</v>
      </c>
      <c r="B77" s="80" t="s">
        <v>405</v>
      </c>
      <c r="C77" s="80" t="s">
        <v>438</v>
      </c>
      <c r="D77" s="80" t="s">
        <v>345</v>
      </c>
      <c r="E77" s="80" t="s">
        <v>349</v>
      </c>
      <c r="F77" s="80" t="s">
        <v>347</v>
      </c>
      <c r="G77" s="80" t="s">
        <v>317</v>
      </c>
      <c r="H77" s="80" t="s">
        <v>318</v>
      </c>
      <c r="I77" s="80" t="s">
        <v>319</v>
      </c>
      <c r="J77" s="80" t="s">
        <v>320</v>
      </c>
      <c r="K77" s="80" t="s">
        <v>321</v>
      </c>
      <c r="L77" s="80" t="s">
        <v>322</v>
      </c>
      <c r="M77" s="80" t="s">
        <v>323</v>
      </c>
      <c r="N77" s="80" t="s">
        <v>324</v>
      </c>
      <c r="O77" s="80" t="s">
        <v>325</v>
      </c>
      <c r="P77" s="80" t="s">
        <v>326</v>
      </c>
      <c r="Q77" s="80" t="s">
        <v>327</v>
      </c>
      <c r="R77" s="80" t="s">
        <v>328</v>
      </c>
      <c r="S77" s="80" t="s">
        <v>329</v>
      </c>
      <c r="T77" s="80" t="s">
        <v>330</v>
      </c>
      <c r="U77" s="80" t="s">
        <v>331</v>
      </c>
      <c r="AB77" s="79" t="s">
        <v>659</v>
      </c>
      <c r="AC77" s="79" t="s">
        <v>660</v>
      </c>
    </row>
    <row r="78" spans="1:29" ht="13.5" customHeight="1">
      <c r="A78" s="80">
        <v>77</v>
      </c>
      <c r="B78" s="80" t="s">
        <v>405</v>
      </c>
      <c r="C78" s="80" t="s">
        <v>439</v>
      </c>
      <c r="D78" s="80" t="s">
        <v>345</v>
      </c>
      <c r="E78" s="80" t="s">
        <v>349</v>
      </c>
      <c r="F78" s="80" t="s">
        <v>347</v>
      </c>
      <c r="G78" s="80" t="s">
        <v>317</v>
      </c>
      <c r="H78" s="80" t="s">
        <v>318</v>
      </c>
      <c r="I78" s="80" t="s">
        <v>319</v>
      </c>
      <c r="J78" s="80" t="s">
        <v>320</v>
      </c>
      <c r="K78" s="80" t="s">
        <v>321</v>
      </c>
      <c r="L78" s="80" t="s">
        <v>322</v>
      </c>
      <c r="M78" s="80" t="s">
        <v>323</v>
      </c>
      <c r="N78" s="80" t="s">
        <v>324</v>
      </c>
      <c r="O78" s="80" t="s">
        <v>325</v>
      </c>
      <c r="P78" s="80" t="s">
        <v>326</v>
      </c>
      <c r="Q78" s="80" t="s">
        <v>327</v>
      </c>
      <c r="R78" s="80" t="s">
        <v>328</v>
      </c>
      <c r="S78" s="80" t="s">
        <v>329</v>
      </c>
      <c r="T78" s="80" t="s">
        <v>330</v>
      </c>
      <c r="U78" s="80" t="s">
        <v>331</v>
      </c>
      <c r="V78" s="80" t="s">
        <v>332</v>
      </c>
      <c r="AB78" s="79" t="s">
        <v>659</v>
      </c>
      <c r="AC78" s="79" t="s">
        <v>660</v>
      </c>
    </row>
    <row r="79" spans="1:29" ht="13.5" customHeight="1">
      <c r="A79" s="80">
        <v>78</v>
      </c>
      <c r="B79" s="80" t="s">
        <v>405</v>
      </c>
      <c r="C79" s="80" t="s">
        <v>440</v>
      </c>
      <c r="D79" s="80" t="s">
        <v>345</v>
      </c>
      <c r="E79" s="80" t="s">
        <v>349</v>
      </c>
      <c r="F79" s="80" t="s">
        <v>347</v>
      </c>
      <c r="G79" s="80" t="s">
        <v>317</v>
      </c>
      <c r="H79" s="80" t="s">
        <v>318</v>
      </c>
      <c r="I79" s="80" t="s">
        <v>319</v>
      </c>
      <c r="J79" s="80" t="s">
        <v>320</v>
      </c>
      <c r="K79" s="80" t="s">
        <v>321</v>
      </c>
      <c r="L79" s="80" t="s">
        <v>322</v>
      </c>
      <c r="M79" s="80" t="s">
        <v>323</v>
      </c>
      <c r="N79" s="80" t="s">
        <v>324</v>
      </c>
      <c r="O79" s="80" t="s">
        <v>325</v>
      </c>
      <c r="P79" s="80" t="s">
        <v>326</v>
      </c>
      <c r="Q79" s="80" t="s">
        <v>327</v>
      </c>
      <c r="R79" s="80" t="s">
        <v>328</v>
      </c>
      <c r="S79" s="80" t="s">
        <v>329</v>
      </c>
      <c r="T79" s="80" t="s">
        <v>330</v>
      </c>
      <c r="U79" s="80" t="s">
        <v>331</v>
      </c>
      <c r="V79" s="80" t="s">
        <v>332</v>
      </c>
      <c r="W79" s="80" t="s">
        <v>333</v>
      </c>
      <c r="AB79" s="79" t="s">
        <v>659</v>
      </c>
      <c r="AC79" s="79" t="s">
        <v>660</v>
      </c>
    </row>
    <row r="80" spans="1:29" ht="13.5" customHeight="1">
      <c r="A80" s="80">
        <v>79</v>
      </c>
      <c r="B80" s="80" t="s">
        <v>405</v>
      </c>
      <c r="C80" s="80" t="s">
        <v>441</v>
      </c>
      <c r="D80" s="80" t="s">
        <v>345</v>
      </c>
      <c r="E80" s="80" t="s">
        <v>349</v>
      </c>
      <c r="F80" s="80" t="s">
        <v>347</v>
      </c>
      <c r="G80" s="80" t="s">
        <v>317</v>
      </c>
      <c r="H80" s="80" t="s">
        <v>318</v>
      </c>
      <c r="I80" s="80" t="s">
        <v>319</v>
      </c>
      <c r="J80" s="80" t="s">
        <v>320</v>
      </c>
      <c r="K80" s="80" t="s">
        <v>321</v>
      </c>
      <c r="L80" s="80" t="s">
        <v>322</v>
      </c>
      <c r="M80" s="80" t="s">
        <v>323</v>
      </c>
      <c r="N80" s="80" t="s">
        <v>324</v>
      </c>
      <c r="O80" s="80" t="s">
        <v>325</v>
      </c>
      <c r="P80" s="80" t="s">
        <v>326</v>
      </c>
      <c r="Q80" s="80" t="s">
        <v>327</v>
      </c>
      <c r="R80" s="80" t="s">
        <v>328</v>
      </c>
      <c r="S80" s="80" t="s">
        <v>329</v>
      </c>
      <c r="T80" s="80" t="s">
        <v>330</v>
      </c>
      <c r="U80" s="80" t="s">
        <v>331</v>
      </c>
      <c r="V80" s="80" t="s">
        <v>332</v>
      </c>
      <c r="W80" s="80" t="s">
        <v>333</v>
      </c>
      <c r="X80" s="80" t="s">
        <v>334</v>
      </c>
      <c r="AB80" s="79" t="s">
        <v>659</v>
      </c>
      <c r="AC80" s="79" t="s">
        <v>660</v>
      </c>
    </row>
    <row r="81" spans="1:29" ht="13.5" customHeight="1">
      <c r="A81" s="80">
        <v>80</v>
      </c>
      <c r="B81" s="80" t="s">
        <v>405</v>
      </c>
      <c r="C81" s="80" t="s">
        <v>442</v>
      </c>
      <c r="D81" s="80" t="s">
        <v>345</v>
      </c>
      <c r="E81" s="80" t="s">
        <v>349</v>
      </c>
      <c r="F81" s="80" t="s">
        <v>347</v>
      </c>
      <c r="G81" s="80" t="s">
        <v>317</v>
      </c>
      <c r="H81" s="80" t="s">
        <v>318</v>
      </c>
      <c r="I81" s="80" t="s">
        <v>319</v>
      </c>
      <c r="J81" s="80" t="s">
        <v>320</v>
      </c>
      <c r="K81" s="80" t="s">
        <v>321</v>
      </c>
      <c r="L81" s="80" t="s">
        <v>322</v>
      </c>
      <c r="M81" s="80" t="s">
        <v>323</v>
      </c>
      <c r="N81" s="80" t="s">
        <v>324</v>
      </c>
      <c r="O81" s="80" t="s">
        <v>325</v>
      </c>
      <c r="P81" s="80" t="s">
        <v>326</v>
      </c>
      <c r="Q81" s="80" t="s">
        <v>327</v>
      </c>
      <c r="R81" s="80" t="s">
        <v>328</v>
      </c>
      <c r="S81" s="80" t="s">
        <v>329</v>
      </c>
      <c r="T81" s="80" t="s">
        <v>330</v>
      </c>
      <c r="U81" s="80" t="s">
        <v>331</v>
      </c>
      <c r="V81" s="80" t="s">
        <v>332</v>
      </c>
      <c r="W81" s="80" t="s">
        <v>333</v>
      </c>
      <c r="X81" s="80" t="s">
        <v>334</v>
      </c>
      <c r="Y81" s="80" t="s">
        <v>335</v>
      </c>
      <c r="AB81" s="79" t="s">
        <v>659</v>
      </c>
      <c r="AC81" s="79" t="s">
        <v>660</v>
      </c>
    </row>
    <row r="82" spans="1:29" ht="13.5" customHeight="1">
      <c r="A82" s="80">
        <v>81</v>
      </c>
      <c r="B82" s="80" t="s">
        <v>405</v>
      </c>
      <c r="C82" s="80" t="s">
        <v>443</v>
      </c>
      <c r="D82" s="80" t="s">
        <v>345</v>
      </c>
      <c r="E82" s="80" t="s">
        <v>349</v>
      </c>
      <c r="F82" s="80" t="s">
        <v>347</v>
      </c>
      <c r="G82" s="80" t="s">
        <v>317</v>
      </c>
      <c r="H82" s="80" t="s">
        <v>318</v>
      </c>
      <c r="I82" s="80" t="s">
        <v>319</v>
      </c>
      <c r="J82" s="80" t="s">
        <v>320</v>
      </c>
      <c r="K82" s="80" t="s">
        <v>321</v>
      </c>
      <c r="L82" s="80" t="s">
        <v>322</v>
      </c>
      <c r="M82" s="80" t="s">
        <v>323</v>
      </c>
      <c r="N82" s="80" t="s">
        <v>324</v>
      </c>
      <c r="O82" s="80" t="s">
        <v>325</v>
      </c>
      <c r="P82" s="80" t="s">
        <v>326</v>
      </c>
      <c r="Q82" s="80" t="s">
        <v>327</v>
      </c>
      <c r="R82" s="80" t="s">
        <v>328</v>
      </c>
      <c r="S82" s="80" t="s">
        <v>329</v>
      </c>
      <c r="T82" s="80" t="s">
        <v>330</v>
      </c>
      <c r="U82" s="80" t="s">
        <v>331</v>
      </c>
      <c r="V82" s="80" t="s">
        <v>332</v>
      </c>
      <c r="W82" s="80" t="s">
        <v>333</v>
      </c>
      <c r="X82" s="80" t="s">
        <v>334</v>
      </c>
      <c r="Y82" s="80" t="s">
        <v>335</v>
      </c>
      <c r="Z82" s="80" t="s">
        <v>336</v>
      </c>
      <c r="AB82" s="79" t="s">
        <v>659</v>
      </c>
      <c r="AC82" s="79" t="s">
        <v>660</v>
      </c>
    </row>
    <row r="83" spans="1:29" ht="13.5" customHeight="1">
      <c r="A83" s="80">
        <v>82</v>
      </c>
      <c r="B83" s="80" t="s">
        <v>405</v>
      </c>
      <c r="C83" s="80" t="s">
        <v>444</v>
      </c>
      <c r="D83" s="80" t="s">
        <v>345</v>
      </c>
      <c r="E83" s="80" t="s">
        <v>349</v>
      </c>
      <c r="F83" s="80" t="s">
        <v>347</v>
      </c>
      <c r="G83" s="80" t="s">
        <v>317</v>
      </c>
      <c r="H83" s="80" t="s">
        <v>318</v>
      </c>
      <c r="I83" s="80" t="s">
        <v>319</v>
      </c>
      <c r="J83" s="80" t="s">
        <v>320</v>
      </c>
      <c r="K83" s="80" t="s">
        <v>321</v>
      </c>
      <c r="L83" s="80" t="s">
        <v>322</v>
      </c>
      <c r="M83" s="80" t="s">
        <v>323</v>
      </c>
      <c r="N83" s="80" t="s">
        <v>324</v>
      </c>
      <c r="O83" s="80" t="s">
        <v>325</v>
      </c>
      <c r="P83" s="80" t="s">
        <v>326</v>
      </c>
      <c r="Q83" s="80" t="s">
        <v>327</v>
      </c>
      <c r="R83" s="80" t="s">
        <v>328</v>
      </c>
      <c r="S83" s="80" t="s">
        <v>329</v>
      </c>
      <c r="T83" s="80" t="s">
        <v>330</v>
      </c>
      <c r="U83" s="80" t="s">
        <v>331</v>
      </c>
      <c r="V83" s="80" t="s">
        <v>332</v>
      </c>
      <c r="W83" s="80" t="s">
        <v>333</v>
      </c>
      <c r="X83" s="80" t="s">
        <v>334</v>
      </c>
      <c r="Y83" s="80" t="s">
        <v>335</v>
      </c>
      <c r="Z83" s="80" t="s">
        <v>336</v>
      </c>
      <c r="AA83" s="80" t="s">
        <v>337</v>
      </c>
      <c r="AB83" s="79" t="s">
        <v>659</v>
      </c>
      <c r="AC83" s="79" t="s">
        <v>660</v>
      </c>
    </row>
    <row r="84" spans="1:29" ht="13.5" customHeight="1">
      <c r="A84" s="78">
        <v>83</v>
      </c>
      <c r="B84" s="78" t="s">
        <v>340</v>
      </c>
      <c r="C84" s="78" t="s">
        <v>445</v>
      </c>
      <c r="D84" s="78" t="s">
        <v>345</v>
      </c>
      <c r="E84" s="78" t="s">
        <v>349</v>
      </c>
      <c r="F84" s="78" t="s">
        <v>347</v>
      </c>
      <c r="G84" s="78" t="s">
        <v>317</v>
      </c>
      <c r="H84" s="78" t="s">
        <v>318</v>
      </c>
      <c r="I84" s="78" t="s">
        <v>319</v>
      </c>
      <c r="J84" s="78" t="s">
        <v>320</v>
      </c>
      <c r="K84" s="78" t="s">
        <v>321</v>
      </c>
      <c r="L84" s="78" t="s">
        <v>322</v>
      </c>
      <c r="M84" s="78" t="s">
        <v>323</v>
      </c>
      <c r="N84" s="78" t="s">
        <v>324</v>
      </c>
      <c r="O84" s="78" t="s">
        <v>325</v>
      </c>
      <c r="P84" s="78" t="s">
        <v>326</v>
      </c>
      <c r="Q84" s="78" t="s">
        <v>327</v>
      </c>
      <c r="R84" s="78" t="s">
        <v>328</v>
      </c>
      <c r="S84" s="78" t="s">
        <v>329</v>
      </c>
      <c r="T84" s="78" t="s">
        <v>330</v>
      </c>
      <c r="U84" s="78" t="s">
        <v>446</v>
      </c>
      <c r="AB84" s="79" t="s">
        <v>659</v>
      </c>
      <c r="AC84" s="79" t="s">
        <v>660</v>
      </c>
    </row>
    <row r="85" spans="1:29" ht="13.5" customHeight="1">
      <c r="A85" s="80">
        <v>84</v>
      </c>
      <c r="B85" s="80" t="s">
        <v>405</v>
      </c>
      <c r="C85" s="80" t="s">
        <v>447</v>
      </c>
      <c r="D85" s="80" t="s">
        <v>345</v>
      </c>
      <c r="E85" s="80" t="s">
        <v>349</v>
      </c>
      <c r="F85" s="80" t="s">
        <v>347</v>
      </c>
      <c r="G85" s="80" t="s">
        <v>317</v>
      </c>
      <c r="H85" s="80" t="s">
        <v>318</v>
      </c>
      <c r="I85" s="80" t="s">
        <v>319</v>
      </c>
      <c r="J85" s="80" t="s">
        <v>320</v>
      </c>
      <c r="K85" s="80" t="s">
        <v>321</v>
      </c>
      <c r="L85" s="80" t="s">
        <v>322</v>
      </c>
      <c r="M85" s="80" t="s">
        <v>323</v>
      </c>
      <c r="N85" s="80" t="s">
        <v>324</v>
      </c>
      <c r="O85" s="80" t="s">
        <v>325</v>
      </c>
      <c r="P85" s="80" t="s">
        <v>326</v>
      </c>
      <c r="Q85" s="80" t="s">
        <v>327</v>
      </c>
      <c r="R85" s="80" t="s">
        <v>328</v>
      </c>
      <c r="S85" s="80" t="s">
        <v>329</v>
      </c>
      <c r="T85" s="80" t="s">
        <v>385</v>
      </c>
      <c r="AB85" s="79" t="s">
        <v>659</v>
      </c>
      <c r="AC85" s="79" t="s">
        <v>660</v>
      </c>
    </row>
    <row r="86" spans="1:29" ht="13.5" customHeight="1">
      <c r="A86" s="80">
        <v>85</v>
      </c>
      <c r="B86" s="80" t="s">
        <v>405</v>
      </c>
      <c r="C86" s="80" t="s">
        <v>448</v>
      </c>
      <c r="D86" s="80" t="s">
        <v>345</v>
      </c>
      <c r="E86" s="80" t="s">
        <v>349</v>
      </c>
      <c r="F86" s="80" t="s">
        <v>347</v>
      </c>
      <c r="G86" s="80" t="s">
        <v>317</v>
      </c>
      <c r="H86" s="80" t="s">
        <v>318</v>
      </c>
      <c r="I86" s="80" t="s">
        <v>319</v>
      </c>
      <c r="J86" s="80" t="s">
        <v>320</v>
      </c>
      <c r="K86" s="80" t="s">
        <v>321</v>
      </c>
      <c r="L86" s="80" t="s">
        <v>322</v>
      </c>
      <c r="M86" s="80" t="s">
        <v>323</v>
      </c>
      <c r="N86" s="80" t="s">
        <v>324</v>
      </c>
      <c r="O86" s="80" t="s">
        <v>325</v>
      </c>
      <c r="P86" s="80" t="s">
        <v>326</v>
      </c>
      <c r="Q86" s="80" t="s">
        <v>327</v>
      </c>
      <c r="R86" s="80" t="s">
        <v>328</v>
      </c>
      <c r="S86" s="80" t="s">
        <v>385</v>
      </c>
      <c r="AB86" s="79" t="s">
        <v>659</v>
      </c>
      <c r="AC86" s="79" t="s">
        <v>660</v>
      </c>
    </row>
    <row r="87" spans="1:29" ht="13.5" customHeight="1">
      <c r="A87" s="80">
        <v>86</v>
      </c>
      <c r="B87" s="80" t="s">
        <v>405</v>
      </c>
      <c r="C87" s="80" t="s">
        <v>449</v>
      </c>
      <c r="D87" s="80" t="s">
        <v>345</v>
      </c>
      <c r="E87" s="80" t="s">
        <v>349</v>
      </c>
      <c r="F87" s="80" t="s">
        <v>347</v>
      </c>
      <c r="G87" s="80" t="s">
        <v>317</v>
      </c>
      <c r="H87" s="80" t="s">
        <v>318</v>
      </c>
      <c r="I87" s="80" t="s">
        <v>319</v>
      </c>
      <c r="J87" s="80" t="s">
        <v>320</v>
      </c>
      <c r="K87" s="80" t="s">
        <v>321</v>
      </c>
      <c r="L87" s="80" t="s">
        <v>322</v>
      </c>
      <c r="M87" s="80" t="s">
        <v>323</v>
      </c>
      <c r="N87" s="80" t="s">
        <v>324</v>
      </c>
      <c r="O87" s="80" t="s">
        <v>325</v>
      </c>
      <c r="P87" s="80" t="s">
        <v>326</v>
      </c>
      <c r="Q87" s="80" t="s">
        <v>327</v>
      </c>
      <c r="R87" s="80" t="s">
        <v>385</v>
      </c>
      <c r="AB87" s="79" t="s">
        <v>659</v>
      </c>
      <c r="AC87" s="79" t="s">
        <v>660</v>
      </c>
    </row>
    <row r="88" spans="1:29" ht="13.5" customHeight="1">
      <c r="A88" s="80">
        <v>87</v>
      </c>
      <c r="B88" s="80" t="s">
        <v>405</v>
      </c>
      <c r="C88" s="80" t="s">
        <v>450</v>
      </c>
      <c r="D88" s="80" t="s">
        <v>345</v>
      </c>
      <c r="E88" s="80" t="s">
        <v>349</v>
      </c>
      <c r="F88" s="80" t="s">
        <v>347</v>
      </c>
      <c r="G88" s="80" t="s">
        <v>317</v>
      </c>
      <c r="H88" s="80" t="s">
        <v>318</v>
      </c>
      <c r="I88" s="80" t="s">
        <v>319</v>
      </c>
      <c r="J88" s="80" t="s">
        <v>320</v>
      </c>
      <c r="K88" s="80" t="s">
        <v>321</v>
      </c>
      <c r="L88" s="80" t="s">
        <v>322</v>
      </c>
      <c r="M88" s="80" t="s">
        <v>323</v>
      </c>
      <c r="N88" s="80" t="s">
        <v>324</v>
      </c>
      <c r="O88" s="80" t="s">
        <v>325</v>
      </c>
      <c r="P88" s="80" t="s">
        <v>326</v>
      </c>
      <c r="Q88" s="80" t="s">
        <v>385</v>
      </c>
      <c r="AB88" s="79" t="s">
        <v>659</v>
      </c>
      <c r="AC88" s="79" t="s">
        <v>660</v>
      </c>
    </row>
    <row r="89" spans="1:29" ht="13.5" customHeight="1">
      <c r="A89" s="80">
        <v>88</v>
      </c>
      <c r="B89" s="80" t="s">
        <v>405</v>
      </c>
      <c r="C89" s="80" t="s">
        <v>451</v>
      </c>
      <c r="D89" s="80" t="s">
        <v>345</v>
      </c>
      <c r="E89" s="80" t="s">
        <v>349</v>
      </c>
      <c r="F89" s="80" t="s">
        <v>347</v>
      </c>
      <c r="G89" s="80" t="s">
        <v>317</v>
      </c>
      <c r="H89" s="80" t="s">
        <v>318</v>
      </c>
      <c r="I89" s="80" t="s">
        <v>319</v>
      </c>
      <c r="J89" s="80" t="s">
        <v>320</v>
      </c>
      <c r="K89" s="80" t="s">
        <v>321</v>
      </c>
      <c r="L89" s="80" t="s">
        <v>322</v>
      </c>
      <c r="M89" s="80" t="s">
        <v>323</v>
      </c>
      <c r="N89" s="80" t="s">
        <v>324</v>
      </c>
      <c r="O89" s="80" t="s">
        <v>325</v>
      </c>
      <c r="P89" s="80" t="s">
        <v>385</v>
      </c>
      <c r="AB89" s="79" t="s">
        <v>659</v>
      </c>
      <c r="AC89" s="79" t="s">
        <v>660</v>
      </c>
    </row>
    <row r="90" spans="1:29" ht="13.5" customHeight="1">
      <c r="A90" s="80">
        <v>89</v>
      </c>
      <c r="B90" s="80" t="s">
        <v>405</v>
      </c>
      <c r="C90" s="80" t="s">
        <v>452</v>
      </c>
      <c r="D90" s="80" t="s">
        <v>345</v>
      </c>
      <c r="E90" s="80" t="s">
        <v>349</v>
      </c>
      <c r="F90" s="80" t="s">
        <v>347</v>
      </c>
      <c r="G90" s="80" t="s">
        <v>317</v>
      </c>
      <c r="H90" s="80" t="s">
        <v>318</v>
      </c>
      <c r="I90" s="80" t="s">
        <v>319</v>
      </c>
      <c r="J90" s="80" t="s">
        <v>320</v>
      </c>
      <c r="K90" s="80" t="s">
        <v>321</v>
      </c>
      <c r="L90" s="80" t="s">
        <v>322</v>
      </c>
      <c r="M90" s="80" t="s">
        <v>323</v>
      </c>
      <c r="N90" s="80" t="s">
        <v>324</v>
      </c>
      <c r="O90" s="80" t="s">
        <v>385</v>
      </c>
      <c r="AB90" s="79" t="s">
        <v>659</v>
      </c>
      <c r="AC90" s="79" t="s">
        <v>660</v>
      </c>
    </row>
    <row r="91" spans="1:29" ht="13.5" customHeight="1">
      <c r="A91" s="78">
        <v>90</v>
      </c>
      <c r="B91" s="78" t="s">
        <v>340</v>
      </c>
      <c r="C91" s="78" t="s">
        <v>453</v>
      </c>
      <c r="D91" s="78" t="s">
        <v>345</v>
      </c>
      <c r="E91" s="78" t="s">
        <v>349</v>
      </c>
      <c r="F91" s="78" t="s">
        <v>347</v>
      </c>
      <c r="G91" s="78" t="s">
        <v>317</v>
      </c>
      <c r="H91" s="78" t="s">
        <v>318</v>
      </c>
      <c r="I91" s="78" t="s">
        <v>319</v>
      </c>
      <c r="J91" s="78" t="s">
        <v>320</v>
      </c>
      <c r="K91" s="78" t="s">
        <v>321</v>
      </c>
      <c r="L91" s="78" t="s">
        <v>322</v>
      </c>
      <c r="M91" s="78" t="s">
        <v>323</v>
      </c>
      <c r="N91" s="78" t="s">
        <v>385</v>
      </c>
      <c r="AB91" s="79" t="s">
        <v>659</v>
      </c>
      <c r="AC91" s="79" t="s">
        <v>660</v>
      </c>
    </row>
    <row r="92" spans="1:29" ht="13.5" customHeight="1">
      <c r="A92" s="78">
        <v>91</v>
      </c>
      <c r="B92" s="78" t="s">
        <v>340</v>
      </c>
      <c r="C92" s="78" t="s">
        <v>454</v>
      </c>
      <c r="D92" s="78" t="s">
        <v>345</v>
      </c>
      <c r="E92" s="78" t="s">
        <v>349</v>
      </c>
      <c r="F92" s="78" t="s">
        <v>347</v>
      </c>
      <c r="G92" s="78" t="s">
        <v>317</v>
      </c>
      <c r="H92" s="78" t="s">
        <v>318</v>
      </c>
      <c r="I92" s="78" t="s">
        <v>319</v>
      </c>
      <c r="J92" s="78" t="s">
        <v>320</v>
      </c>
      <c r="K92" s="78" t="s">
        <v>321</v>
      </c>
      <c r="L92" s="78" t="s">
        <v>322</v>
      </c>
      <c r="M92" s="78" t="s">
        <v>323</v>
      </c>
      <c r="N92" s="78" t="s">
        <v>385</v>
      </c>
      <c r="AB92" s="79" t="s">
        <v>659</v>
      </c>
      <c r="AC92" s="79" t="s">
        <v>660</v>
      </c>
    </row>
    <row r="93" spans="1:29" ht="13.5" customHeight="1">
      <c r="A93" s="78">
        <v>92</v>
      </c>
      <c r="B93" s="78" t="s">
        <v>340</v>
      </c>
      <c r="C93" s="78" t="s">
        <v>455</v>
      </c>
      <c r="D93" s="78" t="s">
        <v>345</v>
      </c>
      <c r="E93" s="78" t="s">
        <v>349</v>
      </c>
      <c r="F93" s="78" t="s">
        <v>347</v>
      </c>
      <c r="G93" s="78" t="s">
        <v>317</v>
      </c>
      <c r="H93" s="78" t="s">
        <v>318</v>
      </c>
      <c r="I93" s="78" t="s">
        <v>319</v>
      </c>
      <c r="J93" s="78" t="s">
        <v>320</v>
      </c>
      <c r="K93" s="78" t="s">
        <v>321</v>
      </c>
      <c r="L93" s="78" t="s">
        <v>322</v>
      </c>
      <c r="M93" s="78" t="s">
        <v>385</v>
      </c>
      <c r="AB93" s="79" t="s">
        <v>659</v>
      </c>
      <c r="AC93" s="79" t="s">
        <v>660</v>
      </c>
    </row>
    <row r="94" spans="1:29" ht="13.5" customHeight="1">
      <c r="A94" s="80">
        <v>93</v>
      </c>
      <c r="B94" s="80" t="s">
        <v>405</v>
      </c>
      <c r="C94" s="80" t="s">
        <v>456</v>
      </c>
      <c r="D94" s="80" t="s">
        <v>345</v>
      </c>
      <c r="E94" s="80" t="s">
        <v>349</v>
      </c>
      <c r="F94" s="80" t="s">
        <v>347</v>
      </c>
      <c r="G94" s="80" t="s">
        <v>317</v>
      </c>
      <c r="H94" s="80" t="s">
        <v>318</v>
      </c>
      <c r="I94" s="80" t="s">
        <v>319</v>
      </c>
      <c r="J94" s="80" t="s">
        <v>320</v>
      </c>
      <c r="K94" s="80" t="s">
        <v>321</v>
      </c>
      <c r="L94" s="80" t="s">
        <v>385</v>
      </c>
      <c r="AB94" s="79" t="s">
        <v>659</v>
      </c>
      <c r="AC94" s="79" t="s">
        <v>660</v>
      </c>
    </row>
    <row r="95" spans="1:29" ht="13.5" customHeight="1">
      <c r="A95" s="78">
        <v>94</v>
      </c>
      <c r="B95" s="78" t="s">
        <v>340</v>
      </c>
      <c r="C95" s="78" t="s">
        <v>457</v>
      </c>
      <c r="D95" s="78" t="s">
        <v>345</v>
      </c>
      <c r="E95" s="78" t="s">
        <v>349</v>
      </c>
      <c r="F95" s="78" t="s">
        <v>347</v>
      </c>
      <c r="G95" s="78" t="s">
        <v>317</v>
      </c>
      <c r="H95" s="78" t="s">
        <v>318</v>
      </c>
      <c r="I95" s="78" t="s">
        <v>319</v>
      </c>
      <c r="J95" s="78" t="s">
        <v>320</v>
      </c>
      <c r="K95" s="78" t="s">
        <v>385</v>
      </c>
      <c r="AB95" s="79" t="s">
        <v>659</v>
      </c>
      <c r="AC95" s="79" t="s">
        <v>660</v>
      </c>
    </row>
    <row r="96" spans="1:29" ht="13.5" customHeight="1">
      <c r="A96" s="80">
        <v>95</v>
      </c>
      <c r="B96" s="80" t="s">
        <v>405</v>
      </c>
      <c r="C96" s="80" t="s">
        <v>458</v>
      </c>
      <c r="D96" s="80" t="s">
        <v>345</v>
      </c>
      <c r="E96" s="80" t="s">
        <v>349</v>
      </c>
      <c r="F96" s="80" t="s">
        <v>347</v>
      </c>
      <c r="G96" s="80" t="s">
        <v>317</v>
      </c>
      <c r="H96" s="80" t="s">
        <v>318</v>
      </c>
      <c r="I96" s="80" t="s">
        <v>319</v>
      </c>
      <c r="J96" s="80" t="s">
        <v>385</v>
      </c>
      <c r="AB96" s="79" t="s">
        <v>659</v>
      </c>
      <c r="AC96" s="79" t="s">
        <v>660</v>
      </c>
    </row>
    <row r="97" spans="1:29" ht="13.5" customHeight="1">
      <c r="A97" s="78">
        <v>96</v>
      </c>
      <c r="B97" s="78" t="s">
        <v>340</v>
      </c>
      <c r="C97" s="78" t="s">
        <v>459</v>
      </c>
      <c r="D97" s="78" t="s">
        <v>345</v>
      </c>
      <c r="E97" s="78" t="s">
        <v>349</v>
      </c>
      <c r="F97" s="78" t="s">
        <v>347</v>
      </c>
      <c r="G97" s="78" t="s">
        <v>317</v>
      </c>
      <c r="H97" s="78" t="s">
        <v>318</v>
      </c>
      <c r="I97" s="78" t="s">
        <v>320</v>
      </c>
      <c r="J97" s="78" t="s">
        <v>321</v>
      </c>
      <c r="K97" s="78" t="s">
        <v>446</v>
      </c>
      <c r="AB97" s="79" t="s">
        <v>659</v>
      </c>
      <c r="AC97" s="79" t="s">
        <v>660</v>
      </c>
    </row>
    <row r="98" spans="1:29" ht="13.5" customHeight="1">
      <c r="A98" s="80">
        <v>97</v>
      </c>
      <c r="B98" s="80" t="s">
        <v>405</v>
      </c>
      <c r="C98" s="80" t="s">
        <v>460</v>
      </c>
      <c r="D98" s="80" t="s">
        <v>345</v>
      </c>
      <c r="E98" s="80" t="s">
        <v>349</v>
      </c>
      <c r="F98" s="80" t="s">
        <v>347</v>
      </c>
      <c r="G98" s="80" t="s">
        <v>317</v>
      </c>
      <c r="H98" s="80" t="s">
        <v>318</v>
      </c>
      <c r="I98" s="80" t="s">
        <v>385</v>
      </c>
      <c r="AB98" s="79" t="s">
        <v>659</v>
      </c>
      <c r="AC98" s="79" t="s">
        <v>660</v>
      </c>
    </row>
    <row r="99" spans="1:29" ht="13.5" customHeight="1">
      <c r="A99" s="78">
        <v>98</v>
      </c>
      <c r="B99" s="78" t="s">
        <v>340</v>
      </c>
      <c r="C99" s="78" t="s">
        <v>461</v>
      </c>
      <c r="D99" s="78" t="s">
        <v>345</v>
      </c>
      <c r="E99" s="78" t="s">
        <v>349</v>
      </c>
      <c r="F99" s="78" t="s">
        <v>347</v>
      </c>
      <c r="G99" s="78" t="s">
        <v>317</v>
      </c>
      <c r="H99" s="78" t="s">
        <v>318</v>
      </c>
      <c r="I99" s="78" t="s">
        <v>385</v>
      </c>
      <c r="AB99" s="79" t="s">
        <v>659</v>
      </c>
      <c r="AC99" s="79" t="s">
        <v>660</v>
      </c>
    </row>
    <row r="100" spans="1:29" ht="13.5" customHeight="1">
      <c r="A100" s="78">
        <v>99</v>
      </c>
      <c r="B100" s="78" t="s">
        <v>340</v>
      </c>
      <c r="C100" s="78" t="s">
        <v>462</v>
      </c>
      <c r="D100" s="78" t="s">
        <v>345</v>
      </c>
      <c r="E100" s="78" t="s">
        <v>349</v>
      </c>
      <c r="F100" s="78" t="s">
        <v>347</v>
      </c>
      <c r="G100" s="78" t="s">
        <v>317</v>
      </c>
      <c r="H100" s="78" t="s">
        <v>319</v>
      </c>
      <c r="AB100" s="79" t="s">
        <v>659</v>
      </c>
      <c r="AC100" s="79" t="s">
        <v>660</v>
      </c>
    </row>
    <row r="101" spans="1:29" ht="13.5" customHeight="1">
      <c r="A101" s="78">
        <v>100</v>
      </c>
      <c r="B101" s="78" t="s">
        <v>340</v>
      </c>
      <c r="C101" s="78" t="s">
        <v>463</v>
      </c>
      <c r="D101" s="78" t="s">
        <v>345</v>
      </c>
      <c r="E101" s="78" t="s">
        <v>349</v>
      </c>
      <c r="F101" s="78" t="s">
        <v>347</v>
      </c>
      <c r="G101" s="78" t="s">
        <v>317</v>
      </c>
      <c r="H101" s="78" t="s">
        <v>464</v>
      </c>
      <c r="AB101" s="79" t="s">
        <v>659</v>
      </c>
      <c r="AC101" s="79" t="s">
        <v>660</v>
      </c>
    </row>
    <row r="102" spans="1:29" ht="13.5" customHeight="1">
      <c r="A102" s="80">
        <v>101</v>
      </c>
      <c r="B102" s="80" t="s">
        <v>405</v>
      </c>
      <c r="C102" s="80" t="s">
        <v>465</v>
      </c>
      <c r="D102" s="80" t="s">
        <v>345</v>
      </c>
      <c r="E102" s="80" t="s">
        <v>349</v>
      </c>
      <c r="F102" s="80" t="s">
        <v>347</v>
      </c>
      <c r="G102" s="80" t="s">
        <v>317</v>
      </c>
      <c r="H102" s="80" t="s">
        <v>385</v>
      </c>
      <c r="AB102" s="79" t="s">
        <v>659</v>
      </c>
      <c r="AC102" s="79" t="s">
        <v>660</v>
      </c>
    </row>
    <row r="103" spans="1:29" ht="13.5" customHeight="1">
      <c r="A103" s="78">
        <v>102</v>
      </c>
      <c r="B103" s="78" t="s">
        <v>340</v>
      </c>
      <c r="C103" s="78" t="s">
        <v>466</v>
      </c>
      <c r="D103" s="78" t="s">
        <v>345</v>
      </c>
      <c r="E103" s="78" t="s">
        <v>349</v>
      </c>
      <c r="F103" s="78" t="s">
        <v>347</v>
      </c>
      <c r="G103" s="78" t="s">
        <v>318</v>
      </c>
      <c r="H103" s="78" t="s">
        <v>319</v>
      </c>
      <c r="AB103" s="79" t="s">
        <v>659</v>
      </c>
      <c r="AC103" s="79" t="s">
        <v>660</v>
      </c>
    </row>
    <row r="104" spans="1:29" ht="13.5" customHeight="1">
      <c r="A104" s="78">
        <v>103</v>
      </c>
      <c r="B104" s="78" t="s">
        <v>340</v>
      </c>
      <c r="C104" s="78" t="s">
        <v>467</v>
      </c>
      <c r="D104" s="78" t="s">
        <v>345</v>
      </c>
      <c r="E104" s="78" t="s">
        <v>349</v>
      </c>
      <c r="F104" s="78" t="s">
        <v>390</v>
      </c>
      <c r="AB104" s="79" t="s">
        <v>659</v>
      </c>
      <c r="AC104" s="79" t="s">
        <v>660</v>
      </c>
    </row>
    <row r="105" spans="1:29" ht="13.5" customHeight="1">
      <c r="A105" s="78">
        <v>104</v>
      </c>
      <c r="B105" s="78" t="s">
        <v>340</v>
      </c>
      <c r="C105" s="78" t="s">
        <v>468</v>
      </c>
      <c r="D105" s="78" t="s">
        <v>345</v>
      </c>
      <c r="E105" s="78" t="s">
        <v>354</v>
      </c>
      <c r="AB105" s="79" t="s">
        <v>659</v>
      </c>
      <c r="AC105" s="79" t="s">
        <v>660</v>
      </c>
    </row>
    <row r="106" spans="1:29" ht="13.5" customHeight="1">
      <c r="A106" s="78">
        <v>105</v>
      </c>
      <c r="B106" s="78" t="s">
        <v>340</v>
      </c>
      <c r="C106" s="78" t="s">
        <v>469</v>
      </c>
      <c r="D106" s="78" t="s">
        <v>345</v>
      </c>
      <c r="E106" s="78" t="s">
        <v>354</v>
      </c>
      <c r="F106" s="78" t="s">
        <v>403</v>
      </c>
      <c r="G106" s="78" t="s">
        <v>390</v>
      </c>
      <c r="H106" s="78" t="s">
        <v>470</v>
      </c>
      <c r="I106" s="78" t="s">
        <v>318</v>
      </c>
      <c r="J106" s="78" t="s">
        <v>319</v>
      </c>
      <c r="K106" s="78" t="s">
        <v>320</v>
      </c>
      <c r="L106" s="78" t="s">
        <v>321</v>
      </c>
      <c r="M106" s="78" t="s">
        <v>322</v>
      </c>
      <c r="AB106" s="79" t="s">
        <v>659</v>
      </c>
      <c r="AC106" s="79" t="s">
        <v>660</v>
      </c>
    </row>
    <row r="107" spans="1:29" ht="13.5" customHeight="1">
      <c r="A107" s="78">
        <v>106</v>
      </c>
      <c r="B107" s="78" t="s">
        <v>340</v>
      </c>
      <c r="C107" s="78" t="s">
        <v>471</v>
      </c>
      <c r="D107" s="78" t="s">
        <v>345</v>
      </c>
      <c r="E107" s="78" t="s">
        <v>354</v>
      </c>
      <c r="F107" s="78" t="s">
        <v>347</v>
      </c>
      <c r="AB107" s="79" t="s">
        <v>659</v>
      </c>
      <c r="AC107" s="79" t="s">
        <v>660</v>
      </c>
    </row>
    <row r="108" spans="1:29" ht="13.5" customHeight="1">
      <c r="A108" s="78">
        <v>107</v>
      </c>
      <c r="B108" s="78" t="s">
        <v>340</v>
      </c>
      <c r="C108" s="78" t="s">
        <v>472</v>
      </c>
      <c r="D108" s="78" t="s">
        <v>345</v>
      </c>
      <c r="E108" s="78" t="s">
        <v>347</v>
      </c>
      <c r="AB108" s="79" t="s">
        <v>659</v>
      </c>
      <c r="AC108" s="79" t="s">
        <v>660</v>
      </c>
    </row>
    <row r="109" spans="1:29" ht="13.5" customHeight="1">
      <c r="A109" s="78">
        <v>108</v>
      </c>
      <c r="B109" s="78" t="s">
        <v>340</v>
      </c>
      <c r="C109" s="78" t="s">
        <v>473</v>
      </c>
      <c r="D109" s="78" t="s">
        <v>345</v>
      </c>
      <c r="E109" s="78" t="s">
        <v>347</v>
      </c>
      <c r="F109" s="78" t="s">
        <v>317</v>
      </c>
      <c r="G109" s="78" t="s">
        <v>318</v>
      </c>
      <c r="AB109" s="79" t="s">
        <v>659</v>
      </c>
      <c r="AC109" s="79" t="s">
        <v>660</v>
      </c>
    </row>
    <row r="110" spans="1:29" ht="13.5" customHeight="1">
      <c r="A110" s="78">
        <v>109</v>
      </c>
      <c r="B110" s="78" t="s">
        <v>340</v>
      </c>
      <c r="C110" s="78" t="s">
        <v>474</v>
      </c>
      <c r="D110" s="78" t="s">
        <v>345</v>
      </c>
      <c r="E110" s="78" t="s">
        <v>347</v>
      </c>
      <c r="F110" s="78" t="s">
        <v>317</v>
      </c>
      <c r="G110" s="78" t="s">
        <v>318</v>
      </c>
      <c r="H110" s="78" t="s">
        <v>319</v>
      </c>
      <c r="I110" s="78" t="s">
        <v>320</v>
      </c>
      <c r="J110" s="78" t="s">
        <v>321</v>
      </c>
      <c r="K110" s="78" t="s">
        <v>322</v>
      </c>
      <c r="L110" s="78" t="s">
        <v>323</v>
      </c>
      <c r="M110" s="78" t="s">
        <v>324</v>
      </c>
      <c r="N110" s="78" t="s">
        <v>325</v>
      </c>
      <c r="O110" s="78" t="s">
        <v>326</v>
      </c>
      <c r="P110" s="78" t="s">
        <v>327</v>
      </c>
      <c r="Q110" s="78" t="s">
        <v>328</v>
      </c>
      <c r="R110" s="78" t="s">
        <v>329</v>
      </c>
      <c r="AB110" s="79" t="s">
        <v>659</v>
      </c>
      <c r="AC110" s="79" t="s">
        <v>660</v>
      </c>
    </row>
    <row r="111" spans="1:29" ht="13.5" customHeight="1">
      <c r="A111" s="78">
        <v>110</v>
      </c>
      <c r="B111" s="78" t="s">
        <v>340</v>
      </c>
      <c r="C111" s="78" t="s">
        <v>475</v>
      </c>
      <c r="D111" s="78" t="s">
        <v>388</v>
      </c>
      <c r="E111" s="78" t="s">
        <v>354</v>
      </c>
      <c r="F111" s="78" t="s">
        <v>347</v>
      </c>
      <c r="AB111" s="79" t="s">
        <v>659</v>
      </c>
      <c r="AC111" s="79" t="s">
        <v>660</v>
      </c>
    </row>
    <row r="112" spans="1:29" ht="13.5" customHeight="1">
      <c r="A112" s="78">
        <v>111</v>
      </c>
      <c r="B112" s="78" t="s">
        <v>340</v>
      </c>
      <c r="C112" s="78" t="s">
        <v>476</v>
      </c>
      <c r="D112" s="78" t="s">
        <v>388</v>
      </c>
      <c r="E112" s="78" t="s">
        <v>354</v>
      </c>
      <c r="F112" s="78" t="s">
        <v>347</v>
      </c>
      <c r="G112" s="78" t="s">
        <v>317</v>
      </c>
      <c r="AB112" s="79" t="s">
        <v>659</v>
      </c>
      <c r="AC112" s="79" t="s">
        <v>660</v>
      </c>
    </row>
    <row r="113" spans="1:29" ht="13.5" customHeight="1">
      <c r="A113" s="78">
        <v>112</v>
      </c>
      <c r="B113" s="78" t="s">
        <v>340</v>
      </c>
      <c r="C113" s="78" t="s">
        <v>477</v>
      </c>
      <c r="D113" s="78" t="s">
        <v>388</v>
      </c>
      <c r="E113" s="78" t="s">
        <v>354</v>
      </c>
      <c r="F113" s="78" t="s">
        <v>347</v>
      </c>
      <c r="G113" s="78" t="s">
        <v>317</v>
      </c>
      <c r="H113" s="78" t="s">
        <v>470</v>
      </c>
      <c r="AB113" s="79" t="s">
        <v>659</v>
      </c>
      <c r="AC113" s="79" t="s">
        <v>660</v>
      </c>
    </row>
    <row r="114" spans="1:29" ht="13.5" customHeight="1">
      <c r="A114" s="78">
        <v>113</v>
      </c>
      <c r="B114" s="78" t="s">
        <v>340</v>
      </c>
      <c r="C114" s="78" t="s">
        <v>478</v>
      </c>
      <c r="D114" s="78" t="s">
        <v>388</v>
      </c>
      <c r="E114" s="78" t="s">
        <v>403</v>
      </c>
      <c r="AB114" s="79" t="s">
        <v>659</v>
      </c>
      <c r="AC114" s="79" t="s">
        <v>660</v>
      </c>
    </row>
    <row r="115" spans="1:29" ht="13.5" customHeight="1">
      <c r="A115" s="78">
        <v>114</v>
      </c>
      <c r="B115" s="78" t="s">
        <v>340</v>
      </c>
      <c r="C115" s="78" t="s">
        <v>479</v>
      </c>
      <c r="D115" s="78" t="s">
        <v>388</v>
      </c>
      <c r="E115" s="78" t="s">
        <v>347</v>
      </c>
      <c r="AB115" s="79" t="s">
        <v>659</v>
      </c>
      <c r="AC115" s="79" t="s">
        <v>660</v>
      </c>
    </row>
    <row r="116" spans="1:29" ht="13.5" customHeight="1">
      <c r="A116" s="78">
        <v>115</v>
      </c>
      <c r="B116" s="78" t="s">
        <v>340</v>
      </c>
      <c r="C116" s="78" t="s">
        <v>480</v>
      </c>
      <c r="D116" s="78" t="s">
        <v>349</v>
      </c>
      <c r="E116" s="78" t="s">
        <v>354</v>
      </c>
      <c r="F116" s="78" t="s">
        <v>481</v>
      </c>
      <c r="G116" s="78" t="s">
        <v>390</v>
      </c>
      <c r="AB116" s="79" t="s">
        <v>659</v>
      </c>
      <c r="AC116" s="79" t="s">
        <v>660</v>
      </c>
    </row>
    <row r="117" spans="1:29" ht="13.5" customHeight="1">
      <c r="A117" s="78">
        <v>116</v>
      </c>
      <c r="B117" s="78" t="s">
        <v>340</v>
      </c>
      <c r="C117" s="78" t="s">
        <v>482</v>
      </c>
      <c r="D117" s="78" t="s">
        <v>349</v>
      </c>
      <c r="E117" s="78" t="s">
        <v>354</v>
      </c>
      <c r="F117" s="78" t="s">
        <v>347</v>
      </c>
      <c r="G117" s="78" t="s">
        <v>390</v>
      </c>
      <c r="H117" s="78" t="s">
        <v>317</v>
      </c>
      <c r="AB117" s="79" t="s">
        <v>659</v>
      </c>
      <c r="AC117" s="79" t="s">
        <v>660</v>
      </c>
    </row>
    <row r="118" spans="1:29" ht="13.5" customHeight="1">
      <c r="A118" s="78">
        <v>117</v>
      </c>
      <c r="B118" s="78" t="s">
        <v>340</v>
      </c>
      <c r="C118" s="78" t="s">
        <v>483</v>
      </c>
      <c r="D118" s="78" t="s">
        <v>349</v>
      </c>
      <c r="E118" s="78" t="s">
        <v>354</v>
      </c>
      <c r="F118" s="78" t="s">
        <v>347</v>
      </c>
      <c r="G118" s="78" t="s">
        <v>390</v>
      </c>
      <c r="H118" s="78" t="s">
        <v>317</v>
      </c>
      <c r="I118" s="78" t="s">
        <v>470</v>
      </c>
      <c r="AB118" s="79" t="s">
        <v>659</v>
      </c>
      <c r="AC118" s="79" t="s">
        <v>660</v>
      </c>
    </row>
    <row r="119" spans="1:29" ht="13.5" customHeight="1">
      <c r="A119" s="78">
        <v>118</v>
      </c>
      <c r="B119" s="78" t="s">
        <v>340</v>
      </c>
      <c r="C119" s="78" t="s">
        <v>484</v>
      </c>
      <c r="D119" s="78" t="s">
        <v>349</v>
      </c>
      <c r="E119" s="78" t="s">
        <v>354</v>
      </c>
      <c r="F119" s="78" t="s">
        <v>347</v>
      </c>
      <c r="G119" s="78" t="s">
        <v>390</v>
      </c>
      <c r="H119" s="78" t="s">
        <v>317</v>
      </c>
      <c r="I119" s="78" t="s">
        <v>470</v>
      </c>
      <c r="J119" s="78" t="s">
        <v>318</v>
      </c>
      <c r="K119" s="78" t="s">
        <v>318</v>
      </c>
      <c r="AB119" s="79" t="s">
        <v>659</v>
      </c>
      <c r="AC119" s="79" t="s">
        <v>660</v>
      </c>
    </row>
    <row r="120" spans="1:29" ht="13.5" customHeight="1">
      <c r="A120" s="78">
        <v>119</v>
      </c>
      <c r="B120" s="78" t="s">
        <v>340</v>
      </c>
      <c r="C120" s="78" t="s">
        <v>485</v>
      </c>
      <c r="D120" s="78" t="s">
        <v>349</v>
      </c>
      <c r="E120" s="78" t="s">
        <v>354</v>
      </c>
      <c r="F120" s="78" t="s">
        <v>347</v>
      </c>
      <c r="G120" s="78" t="s">
        <v>390</v>
      </c>
      <c r="H120" s="78" t="s">
        <v>317</v>
      </c>
      <c r="I120" s="78" t="s">
        <v>318</v>
      </c>
      <c r="AB120" s="79" t="s">
        <v>659</v>
      </c>
      <c r="AC120" s="79" t="s">
        <v>660</v>
      </c>
    </row>
    <row r="121" spans="1:29" ht="13.5" customHeight="1">
      <c r="A121" s="78">
        <v>120</v>
      </c>
      <c r="B121" s="78" t="s">
        <v>340</v>
      </c>
      <c r="C121" s="78" t="s">
        <v>486</v>
      </c>
      <c r="D121" s="78" t="s">
        <v>349</v>
      </c>
      <c r="E121" s="78" t="s">
        <v>354</v>
      </c>
      <c r="F121" s="78" t="s">
        <v>347</v>
      </c>
      <c r="G121" s="78" t="s">
        <v>390</v>
      </c>
      <c r="H121" s="78" t="s">
        <v>317</v>
      </c>
      <c r="I121" s="78" t="s">
        <v>318</v>
      </c>
      <c r="J121" s="78" t="s">
        <v>319</v>
      </c>
      <c r="K121" s="78" t="s">
        <v>320</v>
      </c>
      <c r="AB121" s="79" t="s">
        <v>659</v>
      </c>
      <c r="AC121" s="79" t="s">
        <v>660</v>
      </c>
    </row>
    <row r="122" spans="1:29" ht="13.5" customHeight="1">
      <c r="A122" s="78">
        <v>121</v>
      </c>
      <c r="B122" s="78" t="s">
        <v>340</v>
      </c>
      <c r="C122" s="78" t="s">
        <v>487</v>
      </c>
      <c r="D122" s="78" t="s">
        <v>349</v>
      </c>
      <c r="E122" s="78" t="s">
        <v>354</v>
      </c>
      <c r="F122" s="78" t="s">
        <v>347</v>
      </c>
      <c r="G122" s="78" t="s">
        <v>390</v>
      </c>
      <c r="H122" s="78" t="s">
        <v>317</v>
      </c>
      <c r="I122" s="78" t="s">
        <v>318</v>
      </c>
      <c r="J122" s="78" t="s">
        <v>319</v>
      </c>
      <c r="K122" s="78" t="s">
        <v>320</v>
      </c>
      <c r="L122" s="78" t="s">
        <v>321</v>
      </c>
      <c r="AB122" s="79" t="s">
        <v>659</v>
      </c>
      <c r="AC122" s="79" t="s">
        <v>660</v>
      </c>
    </row>
    <row r="123" spans="1:29" ht="13.5" customHeight="1">
      <c r="A123" s="78">
        <v>122</v>
      </c>
      <c r="B123" s="78" t="s">
        <v>340</v>
      </c>
      <c r="C123" s="78" t="s">
        <v>488</v>
      </c>
      <c r="D123" s="78" t="s">
        <v>349</v>
      </c>
      <c r="E123" s="78" t="s">
        <v>354</v>
      </c>
      <c r="F123" s="78" t="s">
        <v>347</v>
      </c>
      <c r="G123" s="78" t="s">
        <v>317</v>
      </c>
      <c r="AB123" s="79" t="s">
        <v>659</v>
      </c>
      <c r="AC123" s="79" t="s">
        <v>660</v>
      </c>
    </row>
    <row r="124" spans="1:29" ht="13.5" customHeight="1">
      <c r="A124" s="78">
        <v>123</v>
      </c>
      <c r="B124" s="78" t="s">
        <v>340</v>
      </c>
      <c r="C124" s="78" t="s">
        <v>489</v>
      </c>
      <c r="D124" s="78" t="s">
        <v>349</v>
      </c>
      <c r="E124" s="78" t="s">
        <v>354</v>
      </c>
      <c r="F124" s="78" t="s">
        <v>347</v>
      </c>
      <c r="G124" s="78" t="s">
        <v>317</v>
      </c>
      <c r="H124" s="78" t="s">
        <v>470</v>
      </c>
      <c r="AB124" s="79" t="s">
        <v>659</v>
      </c>
      <c r="AC124" s="79" t="s">
        <v>660</v>
      </c>
    </row>
    <row r="125" spans="1:29" ht="13.5" customHeight="1">
      <c r="A125" s="78">
        <v>124</v>
      </c>
      <c r="B125" s="78" t="s">
        <v>340</v>
      </c>
      <c r="C125" s="78" t="s">
        <v>490</v>
      </c>
      <c r="D125" s="78" t="s">
        <v>349</v>
      </c>
      <c r="E125" s="78" t="s">
        <v>354</v>
      </c>
      <c r="F125" s="78" t="s">
        <v>347</v>
      </c>
      <c r="G125" s="78" t="s">
        <v>317</v>
      </c>
      <c r="H125" s="78" t="s">
        <v>318</v>
      </c>
      <c r="AB125" s="79" t="s">
        <v>659</v>
      </c>
      <c r="AC125" s="79" t="s">
        <v>660</v>
      </c>
    </row>
    <row r="126" spans="1:29" ht="13.5" customHeight="1">
      <c r="A126" s="78">
        <v>125</v>
      </c>
      <c r="B126" s="78" t="s">
        <v>340</v>
      </c>
      <c r="C126" s="78" t="s">
        <v>491</v>
      </c>
      <c r="D126" s="78" t="s">
        <v>349</v>
      </c>
      <c r="E126" s="78" t="s">
        <v>354</v>
      </c>
      <c r="F126" s="78" t="s">
        <v>347</v>
      </c>
      <c r="G126" s="78" t="s">
        <v>317</v>
      </c>
      <c r="H126" s="78" t="s">
        <v>318</v>
      </c>
      <c r="I126" s="78" t="s">
        <v>319</v>
      </c>
      <c r="AB126" s="79" t="s">
        <v>659</v>
      </c>
      <c r="AC126" s="79" t="s">
        <v>660</v>
      </c>
    </row>
    <row r="127" spans="1:29" ht="13.5" customHeight="1">
      <c r="A127" s="78">
        <v>126</v>
      </c>
      <c r="B127" s="78" t="s">
        <v>340</v>
      </c>
      <c r="C127" s="78" t="s">
        <v>492</v>
      </c>
      <c r="D127" s="78" t="s">
        <v>349</v>
      </c>
      <c r="E127" s="78" t="s">
        <v>354</v>
      </c>
      <c r="F127" s="78" t="s">
        <v>347</v>
      </c>
      <c r="G127" s="78" t="s">
        <v>317</v>
      </c>
      <c r="H127" s="78" t="s">
        <v>318</v>
      </c>
      <c r="I127" s="78" t="s">
        <v>319</v>
      </c>
      <c r="J127" s="78" t="s">
        <v>320</v>
      </c>
      <c r="K127" s="78" t="s">
        <v>321</v>
      </c>
      <c r="L127" s="78" t="s">
        <v>322</v>
      </c>
      <c r="M127" s="78" t="s">
        <v>493</v>
      </c>
      <c r="AB127" s="79" t="s">
        <v>659</v>
      </c>
      <c r="AC127" s="79" t="s">
        <v>660</v>
      </c>
    </row>
    <row r="128" spans="1:29" ht="13.5" customHeight="1">
      <c r="A128" s="78">
        <v>127</v>
      </c>
      <c r="B128" s="78" t="s">
        <v>340</v>
      </c>
      <c r="C128" s="78" t="s">
        <v>494</v>
      </c>
      <c r="D128" s="78" t="s">
        <v>349</v>
      </c>
      <c r="E128" s="78" t="s">
        <v>495</v>
      </c>
      <c r="F128" s="78" t="s">
        <v>347</v>
      </c>
      <c r="AB128" s="79" t="s">
        <v>659</v>
      </c>
      <c r="AC128" s="79" t="s">
        <v>660</v>
      </c>
    </row>
    <row r="129" spans="1:29" ht="13.5" customHeight="1">
      <c r="A129" s="78">
        <v>128</v>
      </c>
      <c r="B129" s="78" t="s">
        <v>340</v>
      </c>
      <c r="C129" s="78" t="s">
        <v>496</v>
      </c>
      <c r="D129" s="78" t="s">
        <v>349</v>
      </c>
      <c r="E129" s="78" t="s">
        <v>497</v>
      </c>
      <c r="F129" s="78" t="s">
        <v>347</v>
      </c>
      <c r="AB129" s="79" t="s">
        <v>659</v>
      </c>
      <c r="AC129" s="79" t="s">
        <v>660</v>
      </c>
    </row>
    <row r="130" spans="1:29" ht="13.5" customHeight="1">
      <c r="A130" s="78">
        <v>129</v>
      </c>
      <c r="B130" s="78" t="s">
        <v>340</v>
      </c>
      <c r="C130" s="78" t="s">
        <v>498</v>
      </c>
      <c r="D130" s="78" t="s">
        <v>349</v>
      </c>
      <c r="E130" s="78" t="s">
        <v>499</v>
      </c>
      <c r="F130" s="78" t="s">
        <v>347</v>
      </c>
      <c r="AB130" s="79" t="s">
        <v>659</v>
      </c>
      <c r="AC130" s="79" t="s">
        <v>660</v>
      </c>
    </row>
    <row r="131" spans="1:29" ht="13.5" customHeight="1">
      <c r="A131" s="78">
        <v>130</v>
      </c>
      <c r="B131" s="78" t="s">
        <v>340</v>
      </c>
      <c r="C131" s="78" t="s">
        <v>500</v>
      </c>
      <c r="D131" s="78" t="s">
        <v>349</v>
      </c>
      <c r="E131" s="78" t="s">
        <v>499</v>
      </c>
      <c r="F131" s="78" t="s">
        <v>347</v>
      </c>
      <c r="G131" s="78" t="s">
        <v>317</v>
      </c>
      <c r="H131" s="78" t="s">
        <v>318</v>
      </c>
      <c r="I131" s="78" t="s">
        <v>320</v>
      </c>
      <c r="J131" s="78" t="s">
        <v>321</v>
      </c>
      <c r="K131" s="78" t="s">
        <v>322</v>
      </c>
      <c r="L131" s="78" t="s">
        <v>446</v>
      </c>
      <c r="AB131" s="79" t="s">
        <v>659</v>
      </c>
      <c r="AC131" s="79" t="s">
        <v>660</v>
      </c>
    </row>
    <row r="132" spans="1:29" ht="13.5" customHeight="1">
      <c r="A132" s="78">
        <v>131</v>
      </c>
      <c r="B132" s="78" t="s">
        <v>340</v>
      </c>
      <c r="C132" s="78" t="s">
        <v>501</v>
      </c>
      <c r="D132" s="78" t="s">
        <v>349</v>
      </c>
      <c r="E132" s="78" t="s">
        <v>499</v>
      </c>
      <c r="F132" s="78" t="s">
        <v>390</v>
      </c>
      <c r="G132" s="78" t="s">
        <v>470</v>
      </c>
      <c r="H132" s="78" t="s">
        <v>502</v>
      </c>
      <c r="I132" s="78" t="s">
        <v>503</v>
      </c>
      <c r="J132" s="78" t="s">
        <v>373</v>
      </c>
      <c r="AB132" s="79" t="s">
        <v>659</v>
      </c>
      <c r="AC132" s="79" t="s">
        <v>660</v>
      </c>
    </row>
    <row r="133" spans="1:29" ht="13.5" customHeight="1">
      <c r="A133" s="78">
        <v>132</v>
      </c>
      <c r="B133" s="78" t="s">
        <v>340</v>
      </c>
      <c r="C133" s="78" t="s">
        <v>504</v>
      </c>
      <c r="D133" s="78" t="s">
        <v>349</v>
      </c>
      <c r="E133" s="78" t="s">
        <v>499</v>
      </c>
      <c r="F133" s="78" t="s">
        <v>317</v>
      </c>
      <c r="AB133" s="79" t="s">
        <v>659</v>
      </c>
      <c r="AC133" s="79" t="s">
        <v>660</v>
      </c>
    </row>
    <row r="134" spans="1:29" ht="13.5" customHeight="1">
      <c r="A134" s="78">
        <v>133</v>
      </c>
      <c r="B134" s="78" t="s">
        <v>340</v>
      </c>
      <c r="C134" s="78" t="s">
        <v>505</v>
      </c>
      <c r="D134" s="78" t="s">
        <v>349</v>
      </c>
      <c r="E134" s="78" t="s">
        <v>499</v>
      </c>
      <c r="F134" s="78" t="s">
        <v>317</v>
      </c>
      <c r="G134" s="78" t="s">
        <v>318</v>
      </c>
      <c r="AB134" s="79" t="s">
        <v>659</v>
      </c>
      <c r="AC134" s="79" t="s">
        <v>660</v>
      </c>
    </row>
    <row r="135" spans="1:29" ht="13.5" customHeight="1">
      <c r="A135" s="78">
        <v>134</v>
      </c>
      <c r="B135" s="78" t="s">
        <v>340</v>
      </c>
      <c r="C135" s="78" t="s">
        <v>506</v>
      </c>
      <c r="D135" s="78" t="s">
        <v>349</v>
      </c>
      <c r="E135" s="78" t="s">
        <v>507</v>
      </c>
      <c r="AB135" s="79" t="s">
        <v>659</v>
      </c>
      <c r="AC135" s="79" t="s">
        <v>660</v>
      </c>
    </row>
    <row r="136" spans="1:29" ht="13.5" customHeight="1">
      <c r="A136" s="78">
        <v>135</v>
      </c>
      <c r="B136" s="78" t="s">
        <v>340</v>
      </c>
      <c r="C136" s="78" t="s">
        <v>508</v>
      </c>
      <c r="D136" s="78" t="s">
        <v>349</v>
      </c>
      <c r="E136" s="78" t="s">
        <v>509</v>
      </c>
      <c r="F136" s="78" t="s">
        <v>347</v>
      </c>
      <c r="G136" s="78" t="s">
        <v>317</v>
      </c>
      <c r="H136" s="78" t="s">
        <v>318</v>
      </c>
      <c r="AB136" s="79" t="s">
        <v>659</v>
      </c>
      <c r="AC136" s="79" t="s">
        <v>660</v>
      </c>
    </row>
    <row r="137" spans="1:29" ht="13.5" customHeight="1">
      <c r="A137" s="78">
        <v>136</v>
      </c>
      <c r="B137" s="78" t="s">
        <v>340</v>
      </c>
      <c r="C137" s="78" t="s">
        <v>510</v>
      </c>
      <c r="D137" s="78" t="s">
        <v>349</v>
      </c>
      <c r="E137" s="78" t="s">
        <v>509</v>
      </c>
      <c r="F137" s="78" t="s">
        <v>347</v>
      </c>
      <c r="G137" s="78" t="s">
        <v>317</v>
      </c>
      <c r="H137" s="78" t="s">
        <v>318</v>
      </c>
      <c r="I137" s="78" t="s">
        <v>319</v>
      </c>
      <c r="AB137" s="79" t="s">
        <v>659</v>
      </c>
      <c r="AC137" s="79" t="s">
        <v>660</v>
      </c>
    </row>
    <row r="138" spans="1:29" ht="13.5" customHeight="1">
      <c r="A138" s="78">
        <v>137</v>
      </c>
      <c r="B138" s="78" t="s">
        <v>340</v>
      </c>
      <c r="C138" s="78" t="s">
        <v>511</v>
      </c>
      <c r="D138" s="78" t="s">
        <v>349</v>
      </c>
      <c r="E138" s="78" t="s">
        <v>512</v>
      </c>
      <c r="F138" s="78" t="s">
        <v>366</v>
      </c>
      <c r="G138" s="78" t="s">
        <v>318</v>
      </c>
      <c r="AB138" s="79" t="s">
        <v>659</v>
      </c>
      <c r="AC138" s="79" t="s">
        <v>660</v>
      </c>
    </row>
    <row r="139" spans="1:29" ht="13.5" customHeight="1">
      <c r="A139" s="78">
        <v>138</v>
      </c>
      <c r="B139" s="78" t="s">
        <v>340</v>
      </c>
      <c r="C139" s="78" t="s">
        <v>513</v>
      </c>
      <c r="D139" s="78" t="s">
        <v>349</v>
      </c>
      <c r="E139" s="78" t="s">
        <v>512</v>
      </c>
      <c r="F139" s="78" t="s">
        <v>366</v>
      </c>
      <c r="G139" s="78" t="s">
        <v>502</v>
      </c>
      <c r="AB139" s="79" t="s">
        <v>659</v>
      </c>
      <c r="AC139" s="79" t="s">
        <v>660</v>
      </c>
    </row>
    <row r="140" spans="1:29" ht="13.5" customHeight="1">
      <c r="A140" s="78">
        <v>139</v>
      </c>
      <c r="B140" s="78" t="s">
        <v>340</v>
      </c>
      <c r="C140" s="78" t="s">
        <v>514</v>
      </c>
      <c r="D140" s="78" t="s">
        <v>349</v>
      </c>
      <c r="E140" s="78" t="s">
        <v>512</v>
      </c>
      <c r="F140" s="78" t="s">
        <v>317</v>
      </c>
      <c r="G140" s="78" t="s">
        <v>318</v>
      </c>
      <c r="H140" s="78" t="s">
        <v>319</v>
      </c>
      <c r="AB140" s="79" t="s">
        <v>659</v>
      </c>
      <c r="AC140" s="79" t="s">
        <v>660</v>
      </c>
    </row>
    <row r="141" spans="1:29" ht="13.5" customHeight="1">
      <c r="A141" s="78">
        <v>140</v>
      </c>
      <c r="B141" s="78" t="s">
        <v>340</v>
      </c>
      <c r="C141" s="78" t="s">
        <v>515</v>
      </c>
      <c r="D141" s="78" t="s">
        <v>349</v>
      </c>
      <c r="E141" s="78" t="s">
        <v>347</v>
      </c>
      <c r="AB141" s="79" t="s">
        <v>659</v>
      </c>
      <c r="AC141" s="79" t="s">
        <v>660</v>
      </c>
    </row>
    <row r="142" spans="1:29" ht="13.5" customHeight="1">
      <c r="A142" s="78">
        <v>141</v>
      </c>
      <c r="B142" s="78" t="s">
        <v>340</v>
      </c>
      <c r="C142" s="78" t="s">
        <v>516</v>
      </c>
      <c r="D142" s="78" t="s">
        <v>349</v>
      </c>
      <c r="E142" s="78" t="s">
        <v>347</v>
      </c>
      <c r="F142" s="78" t="s">
        <v>390</v>
      </c>
      <c r="G142" s="78" t="s">
        <v>317</v>
      </c>
      <c r="AB142" s="79" t="s">
        <v>659</v>
      </c>
      <c r="AC142" s="79" t="s">
        <v>660</v>
      </c>
    </row>
    <row r="143" spans="1:29" ht="13.5" customHeight="1">
      <c r="A143" s="78">
        <v>142</v>
      </c>
      <c r="B143" s="78" t="s">
        <v>340</v>
      </c>
      <c r="C143" s="78" t="s">
        <v>517</v>
      </c>
      <c r="D143" s="78" t="s">
        <v>349</v>
      </c>
      <c r="E143" s="78" t="s">
        <v>347</v>
      </c>
      <c r="F143" s="78" t="s">
        <v>390</v>
      </c>
      <c r="G143" s="78" t="s">
        <v>317</v>
      </c>
      <c r="H143" s="78" t="s">
        <v>470</v>
      </c>
      <c r="AB143" s="79" t="s">
        <v>659</v>
      </c>
      <c r="AC143" s="79" t="s">
        <v>660</v>
      </c>
    </row>
    <row r="144" spans="1:29" ht="13.5" customHeight="1">
      <c r="A144" s="78">
        <v>143</v>
      </c>
      <c r="B144" s="78" t="s">
        <v>340</v>
      </c>
      <c r="C144" s="78" t="s">
        <v>518</v>
      </c>
      <c r="D144" s="78" t="s">
        <v>349</v>
      </c>
      <c r="E144" s="78" t="s">
        <v>347</v>
      </c>
      <c r="F144" s="78" t="s">
        <v>390</v>
      </c>
      <c r="G144" s="78" t="s">
        <v>317</v>
      </c>
      <c r="H144" s="78" t="s">
        <v>470</v>
      </c>
      <c r="I144" s="78" t="s">
        <v>318</v>
      </c>
      <c r="AB144" s="79" t="s">
        <v>659</v>
      </c>
      <c r="AC144" s="79" t="s">
        <v>660</v>
      </c>
    </row>
    <row r="145" spans="1:29" ht="13.5" customHeight="1">
      <c r="A145" s="78">
        <v>144</v>
      </c>
      <c r="B145" s="78" t="s">
        <v>340</v>
      </c>
      <c r="C145" s="78" t="s">
        <v>519</v>
      </c>
      <c r="D145" s="78" t="s">
        <v>349</v>
      </c>
      <c r="E145" s="78" t="s">
        <v>347</v>
      </c>
      <c r="F145" s="78" t="s">
        <v>390</v>
      </c>
      <c r="G145" s="78" t="s">
        <v>317</v>
      </c>
      <c r="H145" s="78" t="s">
        <v>470</v>
      </c>
      <c r="I145" s="78" t="s">
        <v>318</v>
      </c>
      <c r="J145" s="78" t="s">
        <v>502</v>
      </c>
      <c r="K145" s="78" t="s">
        <v>319</v>
      </c>
      <c r="AB145" s="79" t="s">
        <v>659</v>
      </c>
      <c r="AC145" s="79" t="s">
        <v>660</v>
      </c>
    </row>
    <row r="146" spans="1:29" ht="13.5" customHeight="1">
      <c r="A146" s="78">
        <v>145</v>
      </c>
      <c r="B146" s="78" t="s">
        <v>340</v>
      </c>
      <c r="C146" s="78" t="s">
        <v>520</v>
      </c>
      <c r="D146" s="78" t="s">
        <v>349</v>
      </c>
      <c r="E146" s="78" t="s">
        <v>347</v>
      </c>
      <c r="F146" s="78" t="s">
        <v>390</v>
      </c>
      <c r="G146" s="78" t="s">
        <v>317</v>
      </c>
      <c r="H146" s="78" t="s">
        <v>318</v>
      </c>
      <c r="AB146" s="79" t="s">
        <v>659</v>
      </c>
      <c r="AC146" s="79" t="s">
        <v>660</v>
      </c>
    </row>
    <row r="147" spans="1:29" ht="13.5" customHeight="1">
      <c r="A147" s="78">
        <v>146</v>
      </c>
      <c r="B147" s="78" t="s">
        <v>340</v>
      </c>
      <c r="C147" s="78" t="s">
        <v>521</v>
      </c>
      <c r="D147" s="78" t="s">
        <v>349</v>
      </c>
      <c r="E147" s="78" t="s">
        <v>347</v>
      </c>
      <c r="F147" s="78" t="s">
        <v>390</v>
      </c>
      <c r="G147" s="78" t="s">
        <v>317</v>
      </c>
      <c r="H147" s="78" t="s">
        <v>318</v>
      </c>
      <c r="I147" s="78" t="s">
        <v>319</v>
      </c>
      <c r="AB147" s="79" t="s">
        <v>659</v>
      </c>
      <c r="AC147" s="79" t="s">
        <v>660</v>
      </c>
    </row>
    <row r="148" spans="1:29" ht="13.5" customHeight="1">
      <c r="A148" s="78">
        <v>147</v>
      </c>
      <c r="B148" s="78" t="s">
        <v>340</v>
      </c>
      <c r="C148" s="78" t="s">
        <v>522</v>
      </c>
      <c r="D148" s="78" t="s">
        <v>349</v>
      </c>
      <c r="E148" s="78" t="s">
        <v>347</v>
      </c>
      <c r="F148" s="78" t="s">
        <v>390</v>
      </c>
      <c r="G148" s="78" t="s">
        <v>317</v>
      </c>
      <c r="H148" s="78" t="s">
        <v>318</v>
      </c>
      <c r="I148" s="78" t="s">
        <v>319</v>
      </c>
      <c r="J148" s="78" t="s">
        <v>320</v>
      </c>
      <c r="K148" s="78" t="s">
        <v>321</v>
      </c>
      <c r="L148" s="78" t="s">
        <v>322</v>
      </c>
      <c r="M148" s="78" t="s">
        <v>323</v>
      </c>
      <c r="AB148" s="79" t="s">
        <v>659</v>
      </c>
      <c r="AC148" s="79" t="s">
        <v>660</v>
      </c>
    </row>
    <row r="149" spans="1:29" ht="13.5" customHeight="1">
      <c r="A149" s="78">
        <v>148</v>
      </c>
      <c r="B149" s="78" t="s">
        <v>340</v>
      </c>
      <c r="C149" s="78" t="s">
        <v>523</v>
      </c>
      <c r="D149" s="78" t="s">
        <v>349</v>
      </c>
      <c r="E149" s="78" t="s">
        <v>347</v>
      </c>
      <c r="F149" s="78" t="s">
        <v>390</v>
      </c>
      <c r="G149" s="78" t="s">
        <v>470</v>
      </c>
      <c r="H149" s="78" t="s">
        <v>502</v>
      </c>
      <c r="I149" s="78" t="s">
        <v>319</v>
      </c>
      <c r="J149" s="78" t="s">
        <v>320</v>
      </c>
      <c r="K149" s="78" t="s">
        <v>321</v>
      </c>
      <c r="L149" s="78" t="s">
        <v>322</v>
      </c>
      <c r="M149" s="78" t="s">
        <v>323</v>
      </c>
      <c r="N149" s="78" t="s">
        <v>324</v>
      </c>
      <c r="O149" s="78" t="s">
        <v>325</v>
      </c>
      <c r="P149" s="78" t="s">
        <v>326</v>
      </c>
      <c r="Q149" s="78" t="s">
        <v>327</v>
      </c>
      <c r="AB149" s="79" t="s">
        <v>659</v>
      </c>
      <c r="AC149" s="79" t="s">
        <v>660</v>
      </c>
    </row>
    <row r="150" spans="1:29" ht="13.5" customHeight="1">
      <c r="A150" s="78">
        <v>149</v>
      </c>
      <c r="B150" s="78" t="s">
        <v>340</v>
      </c>
      <c r="C150" s="78" t="s">
        <v>524</v>
      </c>
      <c r="D150" s="78" t="s">
        <v>349</v>
      </c>
      <c r="E150" s="78" t="s">
        <v>347</v>
      </c>
      <c r="F150" s="78" t="s">
        <v>390</v>
      </c>
      <c r="G150" s="78" t="s">
        <v>470</v>
      </c>
      <c r="H150" s="78" t="s">
        <v>502</v>
      </c>
      <c r="I150" s="78" t="s">
        <v>503</v>
      </c>
      <c r="AB150" s="79" t="s">
        <v>659</v>
      </c>
      <c r="AC150" s="79" t="s">
        <v>660</v>
      </c>
    </row>
    <row r="151" spans="1:29" ht="13.5" customHeight="1">
      <c r="A151" s="78">
        <v>150</v>
      </c>
      <c r="B151" s="78" t="s">
        <v>340</v>
      </c>
      <c r="C151" s="78" t="s">
        <v>525</v>
      </c>
      <c r="D151" s="78" t="s">
        <v>349</v>
      </c>
      <c r="E151" s="78" t="s">
        <v>347</v>
      </c>
      <c r="F151" s="78" t="s">
        <v>390</v>
      </c>
      <c r="G151" s="78" t="s">
        <v>470</v>
      </c>
      <c r="H151" s="78" t="s">
        <v>502</v>
      </c>
      <c r="I151" s="78" t="s">
        <v>503</v>
      </c>
      <c r="J151" s="78" t="s">
        <v>373</v>
      </c>
      <c r="AB151" s="79" t="s">
        <v>659</v>
      </c>
      <c r="AC151" s="79" t="s">
        <v>660</v>
      </c>
    </row>
    <row r="152" spans="1:29" ht="13.5" customHeight="1">
      <c r="A152" s="78">
        <v>151</v>
      </c>
      <c r="B152" s="78" t="s">
        <v>340</v>
      </c>
      <c r="C152" s="78" t="s">
        <v>526</v>
      </c>
      <c r="D152" s="78" t="s">
        <v>349</v>
      </c>
      <c r="E152" s="78" t="s">
        <v>347</v>
      </c>
      <c r="F152" s="78" t="s">
        <v>390</v>
      </c>
      <c r="G152" s="78" t="s">
        <v>470</v>
      </c>
      <c r="H152" s="78" t="s">
        <v>502</v>
      </c>
      <c r="I152" s="78" t="s">
        <v>503</v>
      </c>
      <c r="J152" s="78" t="s">
        <v>373</v>
      </c>
      <c r="K152" s="78" t="s">
        <v>527</v>
      </c>
      <c r="L152" s="78" t="s">
        <v>493</v>
      </c>
      <c r="M152" s="78" t="s">
        <v>528</v>
      </c>
      <c r="N152" s="78" t="s">
        <v>529</v>
      </c>
      <c r="O152" s="78" t="s">
        <v>530</v>
      </c>
      <c r="AB152" s="79" t="s">
        <v>659</v>
      </c>
      <c r="AC152" s="79" t="s">
        <v>660</v>
      </c>
    </row>
    <row r="153" spans="1:29" ht="13.5" customHeight="1">
      <c r="A153" s="78">
        <v>152</v>
      </c>
      <c r="B153" s="78" t="s">
        <v>340</v>
      </c>
      <c r="C153" s="78" t="s">
        <v>531</v>
      </c>
      <c r="D153" s="78" t="s">
        <v>349</v>
      </c>
      <c r="E153" s="78" t="s">
        <v>347</v>
      </c>
      <c r="F153" s="78" t="s">
        <v>532</v>
      </c>
      <c r="G153" s="78" t="s">
        <v>317</v>
      </c>
      <c r="H153" s="78" t="s">
        <v>318</v>
      </c>
      <c r="I153" s="78" t="s">
        <v>319</v>
      </c>
      <c r="J153" s="78" t="s">
        <v>320</v>
      </c>
      <c r="K153" s="78" t="s">
        <v>321</v>
      </c>
      <c r="L153" s="78" t="s">
        <v>322</v>
      </c>
      <c r="M153" s="78" t="s">
        <v>323</v>
      </c>
      <c r="N153" s="78" t="s">
        <v>324</v>
      </c>
      <c r="O153" s="78" t="s">
        <v>325</v>
      </c>
      <c r="P153" s="78" t="s">
        <v>385</v>
      </c>
      <c r="AB153" s="79" t="s">
        <v>659</v>
      </c>
      <c r="AC153" s="79" t="s">
        <v>660</v>
      </c>
    </row>
    <row r="154" spans="1:29" ht="13.5" customHeight="1">
      <c r="A154" s="78">
        <v>153</v>
      </c>
      <c r="B154" s="78" t="s">
        <v>340</v>
      </c>
      <c r="C154" s="78" t="s">
        <v>533</v>
      </c>
      <c r="D154" s="78" t="s">
        <v>349</v>
      </c>
      <c r="E154" s="78" t="s">
        <v>347</v>
      </c>
      <c r="F154" s="78" t="s">
        <v>534</v>
      </c>
      <c r="G154" s="78" t="s">
        <v>317</v>
      </c>
      <c r="AB154" s="79" t="s">
        <v>659</v>
      </c>
      <c r="AC154" s="79" t="s">
        <v>660</v>
      </c>
    </row>
    <row r="155" spans="1:29" ht="13.5" customHeight="1">
      <c r="A155" s="78">
        <v>154</v>
      </c>
      <c r="B155" s="78" t="s">
        <v>340</v>
      </c>
      <c r="C155" s="78" t="s">
        <v>535</v>
      </c>
      <c r="D155" s="78" t="s">
        <v>349</v>
      </c>
      <c r="E155" s="78" t="s">
        <v>347</v>
      </c>
      <c r="F155" s="78" t="s">
        <v>534</v>
      </c>
      <c r="G155" s="78" t="s">
        <v>470</v>
      </c>
      <c r="AB155" s="79" t="s">
        <v>659</v>
      </c>
      <c r="AC155" s="79" t="s">
        <v>660</v>
      </c>
    </row>
    <row r="156" spans="1:29" ht="13.5" customHeight="1">
      <c r="A156" s="78">
        <v>155</v>
      </c>
      <c r="B156" s="78" t="s">
        <v>340</v>
      </c>
      <c r="C156" s="78" t="s">
        <v>536</v>
      </c>
      <c r="D156" s="78" t="s">
        <v>349</v>
      </c>
      <c r="E156" s="78" t="s">
        <v>347</v>
      </c>
      <c r="F156" s="78" t="s">
        <v>534</v>
      </c>
      <c r="G156" s="78" t="s">
        <v>470</v>
      </c>
      <c r="H156" s="78" t="s">
        <v>502</v>
      </c>
      <c r="I156" s="78" t="s">
        <v>503</v>
      </c>
      <c r="AB156" s="79" t="s">
        <v>659</v>
      </c>
      <c r="AC156" s="79" t="s">
        <v>660</v>
      </c>
    </row>
    <row r="157" spans="1:29" ht="13.5" customHeight="1">
      <c r="A157" s="78">
        <v>156</v>
      </c>
      <c r="B157" s="78" t="s">
        <v>340</v>
      </c>
      <c r="C157" s="78" t="s">
        <v>537</v>
      </c>
      <c r="D157" s="78" t="s">
        <v>349</v>
      </c>
      <c r="E157" s="78" t="s">
        <v>347</v>
      </c>
      <c r="F157" s="78" t="s">
        <v>366</v>
      </c>
      <c r="G157" s="78" t="s">
        <v>367</v>
      </c>
      <c r="H157" s="78" t="s">
        <v>368</v>
      </c>
      <c r="I157" s="78" t="s">
        <v>411</v>
      </c>
      <c r="J157" s="78" t="s">
        <v>412</v>
      </c>
      <c r="K157" s="78" t="s">
        <v>538</v>
      </c>
      <c r="L157" s="78" t="s">
        <v>539</v>
      </c>
      <c r="M157" s="78" t="s">
        <v>540</v>
      </c>
      <c r="N157" s="78" t="s">
        <v>541</v>
      </c>
      <c r="O157" s="78" t="s">
        <v>326</v>
      </c>
      <c r="P157" s="78" t="s">
        <v>327</v>
      </c>
      <c r="Q157" s="78" t="s">
        <v>328</v>
      </c>
      <c r="AB157" s="79" t="s">
        <v>659</v>
      </c>
      <c r="AC157" s="79" t="s">
        <v>660</v>
      </c>
    </row>
    <row r="158" spans="1:29" ht="13.5" customHeight="1">
      <c r="A158" s="78">
        <v>157</v>
      </c>
      <c r="B158" s="78" t="s">
        <v>340</v>
      </c>
      <c r="C158" s="78" t="s">
        <v>542</v>
      </c>
      <c r="D158" s="78" t="s">
        <v>349</v>
      </c>
      <c r="E158" s="78" t="s">
        <v>347</v>
      </c>
      <c r="F158" s="78" t="s">
        <v>366</v>
      </c>
      <c r="G158" s="78" t="s">
        <v>367</v>
      </c>
      <c r="H158" s="78" t="s">
        <v>368</v>
      </c>
      <c r="I158" s="78" t="s">
        <v>411</v>
      </c>
      <c r="J158" s="78" t="s">
        <v>412</v>
      </c>
      <c r="K158" s="78" t="s">
        <v>538</v>
      </c>
      <c r="L158" s="78" t="s">
        <v>539</v>
      </c>
      <c r="M158" s="78" t="s">
        <v>540</v>
      </c>
      <c r="N158" s="78" t="s">
        <v>325</v>
      </c>
      <c r="AB158" s="79" t="s">
        <v>659</v>
      </c>
      <c r="AC158" s="79" t="s">
        <v>660</v>
      </c>
    </row>
    <row r="159" spans="1:29" ht="13.5" customHeight="1">
      <c r="A159" s="78">
        <v>158</v>
      </c>
      <c r="B159" s="78" t="s">
        <v>340</v>
      </c>
      <c r="C159" s="78" t="s">
        <v>543</v>
      </c>
      <c r="D159" s="78" t="s">
        <v>349</v>
      </c>
      <c r="E159" s="78" t="s">
        <v>347</v>
      </c>
      <c r="F159" s="78" t="s">
        <v>366</v>
      </c>
      <c r="G159" s="78" t="s">
        <v>367</v>
      </c>
      <c r="H159" s="78" t="s">
        <v>368</v>
      </c>
      <c r="I159" s="78" t="s">
        <v>411</v>
      </c>
      <c r="J159" s="78" t="s">
        <v>412</v>
      </c>
      <c r="K159" s="78" t="s">
        <v>538</v>
      </c>
      <c r="L159" s="78" t="s">
        <v>539</v>
      </c>
      <c r="M159" s="78" t="s">
        <v>324</v>
      </c>
      <c r="N159" s="78" t="s">
        <v>325</v>
      </c>
      <c r="O159" s="78" t="s">
        <v>326</v>
      </c>
      <c r="P159" s="78" t="s">
        <v>327</v>
      </c>
      <c r="Q159" s="78" t="s">
        <v>328</v>
      </c>
      <c r="AB159" s="79" t="s">
        <v>659</v>
      </c>
      <c r="AC159" s="79" t="s">
        <v>660</v>
      </c>
    </row>
    <row r="160" spans="1:29" ht="13.5" customHeight="1">
      <c r="A160" s="78">
        <v>159</v>
      </c>
      <c r="B160" s="78" t="s">
        <v>340</v>
      </c>
      <c r="C160" s="78" t="s">
        <v>544</v>
      </c>
      <c r="D160" s="78" t="s">
        <v>349</v>
      </c>
      <c r="E160" s="78" t="s">
        <v>347</v>
      </c>
      <c r="F160" s="78" t="s">
        <v>366</v>
      </c>
      <c r="G160" s="78" t="s">
        <v>367</v>
      </c>
      <c r="H160" s="78" t="s">
        <v>368</v>
      </c>
      <c r="I160" s="78" t="s">
        <v>320</v>
      </c>
      <c r="J160" s="78" t="s">
        <v>321</v>
      </c>
      <c r="K160" s="78" t="s">
        <v>322</v>
      </c>
      <c r="L160" s="78" t="s">
        <v>323</v>
      </c>
      <c r="M160" s="78" t="s">
        <v>324</v>
      </c>
      <c r="N160" s="78" t="s">
        <v>325</v>
      </c>
      <c r="AB160" s="79" t="s">
        <v>659</v>
      </c>
      <c r="AC160" s="79" t="s">
        <v>660</v>
      </c>
    </row>
    <row r="161" spans="1:29" ht="13.5" customHeight="1">
      <c r="A161" s="78">
        <v>160</v>
      </c>
      <c r="B161" s="78" t="s">
        <v>340</v>
      </c>
      <c r="C161" s="78" t="s">
        <v>545</v>
      </c>
      <c r="D161" s="78" t="s">
        <v>349</v>
      </c>
      <c r="E161" s="78" t="s">
        <v>347</v>
      </c>
      <c r="F161" s="78" t="s">
        <v>366</v>
      </c>
      <c r="G161" s="78" t="s">
        <v>367</v>
      </c>
      <c r="H161" s="78" t="s">
        <v>319</v>
      </c>
      <c r="AB161" s="79" t="s">
        <v>659</v>
      </c>
      <c r="AC161" s="79" t="s">
        <v>660</v>
      </c>
    </row>
    <row r="162" spans="1:29" ht="13.5" customHeight="1">
      <c r="A162" s="78">
        <v>161</v>
      </c>
      <c r="B162" s="78" t="s">
        <v>340</v>
      </c>
      <c r="C162" s="78" t="s">
        <v>546</v>
      </c>
      <c r="D162" s="78" t="s">
        <v>349</v>
      </c>
      <c r="E162" s="78" t="s">
        <v>347</v>
      </c>
      <c r="F162" s="78" t="s">
        <v>366</v>
      </c>
      <c r="G162" s="78" t="s">
        <v>367</v>
      </c>
      <c r="H162" s="78" t="s">
        <v>319</v>
      </c>
      <c r="I162" s="78" t="s">
        <v>320</v>
      </c>
      <c r="AB162" s="79" t="s">
        <v>659</v>
      </c>
      <c r="AC162" s="79" t="s">
        <v>660</v>
      </c>
    </row>
    <row r="163" spans="1:29" ht="13.5" customHeight="1">
      <c r="A163" s="78">
        <v>162</v>
      </c>
      <c r="B163" s="78" t="s">
        <v>340</v>
      </c>
      <c r="C163" s="78" t="s">
        <v>547</v>
      </c>
      <c r="D163" s="78" t="s">
        <v>349</v>
      </c>
      <c r="E163" s="78" t="s">
        <v>347</v>
      </c>
      <c r="F163" s="78" t="s">
        <v>366</v>
      </c>
      <c r="G163" s="78" t="s">
        <v>367</v>
      </c>
      <c r="H163" s="78" t="s">
        <v>319</v>
      </c>
      <c r="I163" s="78" t="s">
        <v>320</v>
      </c>
      <c r="J163" s="78" t="s">
        <v>321</v>
      </c>
      <c r="K163" s="78" t="s">
        <v>322</v>
      </c>
      <c r="L163" s="78" t="s">
        <v>323</v>
      </c>
      <c r="M163" s="78" t="s">
        <v>324</v>
      </c>
      <c r="AB163" s="79" t="s">
        <v>659</v>
      </c>
      <c r="AC163" s="79" t="s">
        <v>660</v>
      </c>
    </row>
    <row r="164" spans="1:29" ht="13.5" customHeight="1">
      <c r="A164" s="78">
        <v>163</v>
      </c>
      <c r="B164" s="78" t="s">
        <v>340</v>
      </c>
      <c r="C164" s="78" t="s">
        <v>548</v>
      </c>
      <c r="D164" s="78" t="s">
        <v>349</v>
      </c>
      <c r="E164" s="78" t="s">
        <v>347</v>
      </c>
      <c r="F164" s="78" t="s">
        <v>366</v>
      </c>
      <c r="G164" s="78" t="s">
        <v>367</v>
      </c>
      <c r="H164" s="78" t="s">
        <v>319</v>
      </c>
      <c r="I164" s="78" t="s">
        <v>320</v>
      </c>
      <c r="J164" s="78" t="s">
        <v>321</v>
      </c>
      <c r="K164" s="78" t="s">
        <v>322</v>
      </c>
      <c r="L164" s="78" t="s">
        <v>323</v>
      </c>
      <c r="M164" s="78" t="s">
        <v>324</v>
      </c>
      <c r="N164" s="78" t="s">
        <v>325</v>
      </c>
      <c r="AB164" s="79" t="s">
        <v>659</v>
      </c>
      <c r="AC164" s="79" t="s">
        <v>660</v>
      </c>
    </row>
    <row r="165" spans="1:29" ht="13.5" customHeight="1">
      <c r="A165" s="78">
        <v>164</v>
      </c>
      <c r="B165" s="78" t="s">
        <v>340</v>
      </c>
      <c r="C165" s="78" t="s">
        <v>549</v>
      </c>
      <c r="D165" s="78" t="s">
        <v>349</v>
      </c>
      <c r="E165" s="78" t="s">
        <v>347</v>
      </c>
      <c r="F165" s="78" t="s">
        <v>366</v>
      </c>
      <c r="G165" s="78" t="s">
        <v>318</v>
      </c>
      <c r="AB165" s="79" t="s">
        <v>659</v>
      </c>
      <c r="AC165" s="79" t="s">
        <v>660</v>
      </c>
    </row>
    <row r="166" spans="1:29" ht="13.5" customHeight="1">
      <c r="A166" s="78">
        <v>165</v>
      </c>
      <c r="B166" s="78" t="s">
        <v>340</v>
      </c>
      <c r="C166" s="78" t="s">
        <v>550</v>
      </c>
      <c r="D166" s="78" t="s">
        <v>349</v>
      </c>
      <c r="E166" s="78" t="s">
        <v>347</v>
      </c>
      <c r="F166" s="78" t="s">
        <v>366</v>
      </c>
      <c r="G166" s="78" t="s">
        <v>318</v>
      </c>
      <c r="H166" s="78" t="s">
        <v>319</v>
      </c>
      <c r="AB166" s="79" t="s">
        <v>659</v>
      </c>
      <c r="AC166" s="79" t="s">
        <v>660</v>
      </c>
    </row>
    <row r="167" spans="1:29" ht="13.5" customHeight="1">
      <c r="A167" s="78">
        <v>166</v>
      </c>
      <c r="B167" s="78" t="s">
        <v>340</v>
      </c>
      <c r="C167" s="78" t="s">
        <v>551</v>
      </c>
      <c r="D167" s="78" t="s">
        <v>349</v>
      </c>
      <c r="E167" s="78" t="s">
        <v>347</v>
      </c>
      <c r="F167" s="78" t="s">
        <v>366</v>
      </c>
      <c r="G167" s="78" t="s">
        <v>318</v>
      </c>
      <c r="H167" s="78" t="s">
        <v>319</v>
      </c>
      <c r="I167" s="78" t="s">
        <v>320</v>
      </c>
      <c r="AB167" s="79" t="s">
        <v>659</v>
      </c>
      <c r="AC167" s="79" t="s">
        <v>660</v>
      </c>
    </row>
    <row r="168" spans="1:29" ht="13.5" customHeight="1">
      <c r="A168" s="78">
        <v>167</v>
      </c>
      <c r="B168" s="78" t="s">
        <v>340</v>
      </c>
      <c r="C168" s="78" t="s">
        <v>552</v>
      </c>
      <c r="D168" s="78" t="s">
        <v>349</v>
      </c>
      <c r="E168" s="78" t="s">
        <v>347</v>
      </c>
      <c r="F168" s="78" t="s">
        <v>366</v>
      </c>
      <c r="G168" s="78" t="s">
        <v>318</v>
      </c>
      <c r="H168" s="78" t="s">
        <v>319</v>
      </c>
      <c r="I168" s="78" t="s">
        <v>320</v>
      </c>
      <c r="J168" s="78" t="s">
        <v>321</v>
      </c>
      <c r="K168" s="78" t="s">
        <v>322</v>
      </c>
      <c r="L168" s="78" t="s">
        <v>323</v>
      </c>
      <c r="AB168" s="79" t="s">
        <v>659</v>
      </c>
      <c r="AC168" s="79" t="s">
        <v>660</v>
      </c>
    </row>
    <row r="169" spans="1:29" ht="13.5" customHeight="1">
      <c r="A169" s="78">
        <v>168</v>
      </c>
      <c r="B169" s="78" t="s">
        <v>340</v>
      </c>
      <c r="C169" s="78" t="s">
        <v>553</v>
      </c>
      <c r="D169" s="78" t="s">
        <v>349</v>
      </c>
      <c r="E169" s="78" t="s">
        <v>347</v>
      </c>
      <c r="F169" s="78" t="s">
        <v>366</v>
      </c>
      <c r="G169" s="78" t="s">
        <v>318</v>
      </c>
      <c r="H169" s="78" t="s">
        <v>319</v>
      </c>
      <c r="I169" s="78" t="s">
        <v>320</v>
      </c>
      <c r="J169" s="78" t="s">
        <v>321</v>
      </c>
      <c r="K169" s="78" t="s">
        <v>322</v>
      </c>
      <c r="L169" s="78" t="s">
        <v>323</v>
      </c>
      <c r="M169" s="78" t="s">
        <v>324</v>
      </c>
      <c r="N169" s="78" t="s">
        <v>325</v>
      </c>
      <c r="O169" s="78" t="s">
        <v>326</v>
      </c>
      <c r="P169" s="78" t="s">
        <v>327</v>
      </c>
      <c r="Q169" s="78" t="s">
        <v>328</v>
      </c>
      <c r="AB169" s="79" t="s">
        <v>659</v>
      </c>
      <c r="AC169" s="79" t="s">
        <v>660</v>
      </c>
    </row>
    <row r="170" spans="1:29" ht="13.5" customHeight="1">
      <c r="A170" s="78">
        <v>169</v>
      </c>
      <c r="B170" s="78" t="s">
        <v>340</v>
      </c>
      <c r="C170" s="78" t="s">
        <v>554</v>
      </c>
      <c r="D170" s="78" t="s">
        <v>349</v>
      </c>
      <c r="E170" s="78" t="s">
        <v>347</v>
      </c>
      <c r="F170" s="78" t="s">
        <v>317</v>
      </c>
      <c r="AB170" s="79" t="s">
        <v>659</v>
      </c>
      <c r="AC170" s="79" t="s">
        <v>660</v>
      </c>
    </row>
    <row r="171" spans="1:29" ht="13.5" customHeight="1">
      <c r="A171" s="78">
        <v>170</v>
      </c>
      <c r="B171" s="78" t="s">
        <v>340</v>
      </c>
      <c r="C171" s="78" t="s">
        <v>555</v>
      </c>
      <c r="D171" s="78" t="s">
        <v>349</v>
      </c>
      <c r="E171" s="78" t="s">
        <v>347</v>
      </c>
      <c r="F171" s="78" t="s">
        <v>317</v>
      </c>
      <c r="AB171" s="79" t="s">
        <v>659</v>
      </c>
      <c r="AC171" s="79" t="s">
        <v>660</v>
      </c>
    </row>
    <row r="172" spans="1:29" ht="13.5" customHeight="1">
      <c r="A172" s="78">
        <v>171</v>
      </c>
      <c r="B172" s="78" t="s">
        <v>340</v>
      </c>
      <c r="C172" s="78" t="s">
        <v>556</v>
      </c>
      <c r="D172" s="78" t="s">
        <v>349</v>
      </c>
      <c r="E172" s="78" t="s">
        <v>347</v>
      </c>
      <c r="F172" s="78" t="s">
        <v>317</v>
      </c>
      <c r="G172" s="78" t="s">
        <v>470</v>
      </c>
      <c r="H172" s="78" t="s">
        <v>318</v>
      </c>
      <c r="AB172" s="79" t="s">
        <v>659</v>
      </c>
      <c r="AC172" s="79" t="s">
        <v>660</v>
      </c>
    </row>
    <row r="173" spans="1:29" ht="13.5" customHeight="1">
      <c r="A173" s="78">
        <v>172</v>
      </c>
      <c r="B173" s="78" t="s">
        <v>340</v>
      </c>
      <c r="C173" s="78" t="s">
        <v>557</v>
      </c>
      <c r="D173" s="78" t="s">
        <v>349</v>
      </c>
      <c r="E173" s="78" t="s">
        <v>347</v>
      </c>
      <c r="F173" s="78" t="s">
        <v>317</v>
      </c>
      <c r="G173" s="78" t="s">
        <v>470</v>
      </c>
      <c r="H173" s="78" t="s">
        <v>318</v>
      </c>
      <c r="I173" s="78" t="s">
        <v>502</v>
      </c>
      <c r="J173" s="78" t="s">
        <v>319</v>
      </c>
      <c r="K173" s="78" t="s">
        <v>503</v>
      </c>
      <c r="AB173" s="79" t="s">
        <v>659</v>
      </c>
      <c r="AC173" s="79" t="s">
        <v>660</v>
      </c>
    </row>
    <row r="174" spans="1:29" ht="13.5" customHeight="1">
      <c r="A174" s="78">
        <v>173</v>
      </c>
      <c r="B174" s="78" t="s">
        <v>340</v>
      </c>
      <c r="C174" s="78" t="s">
        <v>558</v>
      </c>
      <c r="D174" s="78" t="s">
        <v>349</v>
      </c>
      <c r="E174" s="78" t="s">
        <v>347</v>
      </c>
      <c r="F174" s="78" t="s">
        <v>317</v>
      </c>
      <c r="G174" s="78" t="s">
        <v>470</v>
      </c>
      <c r="H174" s="78" t="s">
        <v>318</v>
      </c>
      <c r="I174" s="78" t="s">
        <v>502</v>
      </c>
      <c r="J174" s="78" t="s">
        <v>319</v>
      </c>
      <c r="K174" s="78" t="s">
        <v>503</v>
      </c>
      <c r="AB174" s="79" t="s">
        <v>659</v>
      </c>
      <c r="AC174" s="79" t="s">
        <v>660</v>
      </c>
    </row>
    <row r="175" spans="1:29" ht="13.5" customHeight="1">
      <c r="A175" s="78">
        <v>174</v>
      </c>
      <c r="B175" s="78" t="s">
        <v>340</v>
      </c>
      <c r="C175" s="78" t="s">
        <v>559</v>
      </c>
      <c r="D175" s="78" t="s">
        <v>349</v>
      </c>
      <c r="E175" s="78" t="s">
        <v>347</v>
      </c>
      <c r="F175" s="78" t="s">
        <v>317</v>
      </c>
      <c r="G175" s="78" t="s">
        <v>367</v>
      </c>
      <c r="H175" s="78" t="s">
        <v>368</v>
      </c>
      <c r="I175" s="78" t="s">
        <v>411</v>
      </c>
      <c r="J175" s="78" t="s">
        <v>412</v>
      </c>
      <c r="K175" s="78" t="s">
        <v>322</v>
      </c>
      <c r="AB175" s="79" t="s">
        <v>659</v>
      </c>
      <c r="AC175" s="79" t="s">
        <v>660</v>
      </c>
    </row>
    <row r="176" spans="1:29" ht="13.5" customHeight="1">
      <c r="A176" s="78">
        <v>175</v>
      </c>
      <c r="B176" s="78" t="s">
        <v>340</v>
      </c>
      <c r="C176" s="78" t="s">
        <v>560</v>
      </c>
      <c r="D176" s="78" t="s">
        <v>349</v>
      </c>
      <c r="E176" s="78" t="s">
        <v>347</v>
      </c>
      <c r="F176" s="78" t="s">
        <v>317</v>
      </c>
      <c r="G176" s="78" t="s">
        <v>367</v>
      </c>
      <c r="H176" s="78" t="s">
        <v>368</v>
      </c>
      <c r="I176" s="78" t="s">
        <v>320</v>
      </c>
      <c r="J176" s="78" t="s">
        <v>321</v>
      </c>
      <c r="K176" s="78" t="s">
        <v>322</v>
      </c>
      <c r="L176" s="78" t="s">
        <v>323</v>
      </c>
      <c r="M176" s="78" t="s">
        <v>324</v>
      </c>
      <c r="N176" s="78" t="s">
        <v>325</v>
      </c>
      <c r="O176" s="78" t="s">
        <v>326</v>
      </c>
      <c r="P176" s="78" t="s">
        <v>327</v>
      </c>
      <c r="Q176" s="78" t="s">
        <v>328</v>
      </c>
      <c r="R176" s="78" t="s">
        <v>329</v>
      </c>
      <c r="AB176" s="79" t="s">
        <v>659</v>
      </c>
      <c r="AC176" s="79" t="s">
        <v>660</v>
      </c>
    </row>
    <row r="177" spans="1:29" ht="13.5" customHeight="1">
      <c r="A177" s="78">
        <v>176</v>
      </c>
      <c r="B177" s="78" t="s">
        <v>340</v>
      </c>
      <c r="C177" s="78" t="s">
        <v>561</v>
      </c>
      <c r="D177" s="78" t="s">
        <v>349</v>
      </c>
      <c r="E177" s="78" t="s">
        <v>347</v>
      </c>
      <c r="F177" s="78" t="s">
        <v>317</v>
      </c>
      <c r="G177" s="78" t="s">
        <v>367</v>
      </c>
      <c r="H177" s="78" t="s">
        <v>319</v>
      </c>
      <c r="I177" s="78" t="s">
        <v>320</v>
      </c>
      <c r="AB177" s="79" t="s">
        <v>659</v>
      </c>
      <c r="AC177" s="79" t="s">
        <v>660</v>
      </c>
    </row>
    <row r="178" spans="1:29" ht="13.5" customHeight="1">
      <c r="A178" s="78">
        <v>177</v>
      </c>
      <c r="B178" s="78" t="s">
        <v>340</v>
      </c>
      <c r="C178" s="78" t="s">
        <v>562</v>
      </c>
      <c r="D178" s="78" t="s">
        <v>349</v>
      </c>
      <c r="E178" s="78" t="s">
        <v>347</v>
      </c>
      <c r="F178" s="78" t="s">
        <v>317</v>
      </c>
      <c r="G178" s="78" t="s">
        <v>318</v>
      </c>
      <c r="AB178" s="79" t="s">
        <v>659</v>
      </c>
      <c r="AC178" s="79" t="s">
        <v>660</v>
      </c>
    </row>
    <row r="179" spans="1:29" ht="13.5" customHeight="1">
      <c r="A179" s="78">
        <v>178</v>
      </c>
      <c r="B179" s="78" t="s">
        <v>340</v>
      </c>
      <c r="C179" s="78" t="s">
        <v>563</v>
      </c>
      <c r="D179" s="78" t="s">
        <v>349</v>
      </c>
      <c r="E179" s="78" t="s">
        <v>347</v>
      </c>
      <c r="F179" s="78" t="s">
        <v>317</v>
      </c>
      <c r="G179" s="78" t="s">
        <v>318</v>
      </c>
      <c r="AB179" s="79" t="s">
        <v>659</v>
      </c>
      <c r="AC179" s="79" t="s">
        <v>660</v>
      </c>
    </row>
    <row r="180" spans="1:29" ht="13.5" customHeight="1">
      <c r="A180" s="78">
        <v>179</v>
      </c>
      <c r="B180" s="78" t="s">
        <v>340</v>
      </c>
      <c r="C180" s="78" t="s">
        <v>564</v>
      </c>
      <c r="D180" s="78" t="s">
        <v>349</v>
      </c>
      <c r="E180" s="78" t="s">
        <v>347</v>
      </c>
      <c r="F180" s="78" t="s">
        <v>317</v>
      </c>
      <c r="G180" s="78" t="s">
        <v>318</v>
      </c>
      <c r="H180" s="78" t="s">
        <v>319</v>
      </c>
      <c r="AB180" s="79" t="s">
        <v>659</v>
      </c>
      <c r="AC180" s="79" t="s">
        <v>660</v>
      </c>
    </row>
    <row r="181" spans="1:29" ht="13.5" customHeight="1">
      <c r="A181" s="78">
        <v>180</v>
      </c>
      <c r="B181" s="78" t="s">
        <v>340</v>
      </c>
      <c r="C181" s="78" t="s">
        <v>565</v>
      </c>
      <c r="D181" s="78" t="s">
        <v>349</v>
      </c>
      <c r="E181" s="78" t="s">
        <v>347</v>
      </c>
      <c r="F181" s="78" t="s">
        <v>317</v>
      </c>
      <c r="G181" s="78" t="s">
        <v>318</v>
      </c>
      <c r="H181" s="78" t="s">
        <v>319</v>
      </c>
      <c r="I181" s="78" t="s">
        <v>320</v>
      </c>
      <c r="AB181" s="79" t="s">
        <v>659</v>
      </c>
      <c r="AC181" s="79" t="s">
        <v>660</v>
      </c>
    </row>
    <row r="182" spans="1:29" ht="13.5" customHeight="1">
      <c r="A182" s="78">
        <v>181</v>
      </c>
      <c r="B182" s="78" t="s">
        <v>340</v>
      </c>
      <c r="C182" s="78" t="s">
        <v>566</v>
      </c>
      <c r="D182" s="78" t="s">
        <v>349</v>
      </c>
      <c r="E182" s="78" t="s">
        <v>347</v>
      </c>
      <c r="F182" s="78" t="s">
        <v>317</v>
      </c>
      <c r="G182" s="78" t="s">
        <v>318</v>
      </c>
      <c r="H182" s="78" t="s">
        <v>319</v>
      </c>
      <c r="I182" s="78" t="s">
        <v>320</v>
      </c>
      <c r="J182" s="78" t="s">
        <v>321</v>
      </c>
      <c r="AB182" s="79" t="s">
        <v>659</v>
      </c>
      <c r="AC182" s="79" t="s">
        <v>660</v>
      </c>
    </row>
    <row r="183" spans="1:29" ht="13.5" customHeight="1">
      <c r="A183" s="78">
        <v>182</v>
      </c>
      <c r="B183" s="78" t="s">
        <v>340</v>
      </c>
      <c r="C183" s="78" t="s">
        <v>567</v>
      </c>
      <c r="D183" s="78" t="s">
        <v>349</v>
      </c>
      <c r="E183" s="78" t="s">
        <v>347</v>
      </c>
      <c r="F183" s="78" t="s">
        <v>317</v>
      </c>
      <c r="G183" s="78" t="s">
        <v>318</v>
      </c>
      <c r="H183" s="78" t="s">
        <v>319</v>
      </c>
      <c r="I183" s="78" t="s">
        <v>320</v>
      </c>
      <c r="J183" s="78" t="s">
        <v>321</v>
      </c>
      <c r="K183" s="78" t="s">
        <v>322</v>
      </c>
      <c r="AB183" s="79" t="s">
        <v>659</v>
      </c>
      <c r="AC183" s="79" t="s">
        <v>660</v>
      </c>
    </row>
    <row r="184" spans="1:29" ht="13.5" customHeight="1">
      <c r="A184" s="78">
        <v>183</v>
      </c>
      <c r="B184" s="78" t="s">
        <v>340</v>
      </c>
      <c r="C184" s="78" t="s">
        <v>568</v>
      </c>
      <c r="D184" s="78" t="s">
        <v>349</v>
      </c>
      <c r="E184" s="78" t="s">
        <v>347</v>
      </c>
      <c r="F184" s="78" t="s">
        <v>317</v>
      </c>
      <c r="G184" s="78" t="s">
        <v>318</v>
      </c>
      <c r="H184" s="78" t="s">
        <v>319</v>
      </c>
      <c r="I184" s="78" t="s">
        <v>320</v>
      </c>
      <c r="J184" s="78" t="s">
        <v>321</v>
      </c>
      <c r="K184" s="78" t="s">
        <v>322</v>
      </c>
      <c r="L184" s="78" t="s">
        <v>323</v>
      </c>
      <c r="AB184" s="79" t="s">
        <v>659</v>
      </c>
      <c r="AC184" s="79" t="s">
        <v>660</v>
      </c>
    </row>
    <row r="185" spans="1:29" ht="13.5" customHeight="1">
      <c r="A185" s="78">
        <v>184</v>
      </c>
      <c r="B185" s="78" t="s">
        <v>340</v>
      </c>
      <c r="C185" s="78" t="s">
        <v>569</v>
      </c>
      <c r="D185" s="78" t="s">
        <v>349</v>
      </c>
      <c r="E185" s="78" t="s">
        <v>347</v>
      </c>
      <c r="F185" s="78" t="s">
        <v>317</v>
      </c>
      <c r="G185" s="78" t="s">
        <v>318</v>
      </c>
      <c r="H185" s="78" t="s">
        <v>319</v>
      </c>
      <c r="I185" s="78" t="s">
        <v>320</v>
      </c>
      <c r="J185" s="78" t="s">
        <v>321</v>
      </c>
      <c r="K185" s="78" t="s">
        <v>322</v>
      </c>
      <c r="L185" s="78" t="s">
        <v>323</v>
      </c>
      <c r="M185" s="78" t="s">
        <v>528</v>
      </c>
      <c r="AB185" s="79" t="s">
        <v>659</v>
      </c>
      <c r="AC185" s="79" t="s">
        <v>660</v>
      </c>
    </row>
    <row r="186" spans="1:29" ht="13.5" customHeight="1">
      <c r="A186" s="78">
        <v>185</v>
      </c>
      <c r="B186" s="78" t="s">
        <v>340</v>
      </c>
      <c r="C186" s="78" t="s">
        <v>570</v>
      </c>
      <c r="D186" s="78" t="s">
        <v>349</v>
      </c>
      <c r="E186" s="78" t="s">
        <v>347</v>
      </c>
      <c r="F186" s="78" t="s">
        <v>317</v>
      </c>
      <c r="G186" s="78" t="s">
        <v>318</v>
      </c>
      <c r="H186" s="78" t="s">
        <v>319</v>
      </c>
      <c r="I186" s="78" t="s">
        <v>320</v>
      </c>
      <c r="J186" s="78" t="s">
        <v>321</v>
      </c>
      <c r="K186" s="78" t="s">
        <v>322</v>
      </c>
      <c r="L186" s="78" t="s">
        <v>323</v>
      </c>
      <c r="M186" s="78" t="s">
        <v>324</v>
      </c>
      <c r="AB186" s="79" t="s">
        <v>659</v>
      </c>
      <c r="AC186" s="79" t="s">
        <v>660</v>
      </c>
    </row>
    <row r="187" spans="1:29" ht="13.5" customHeight="1">
      <c r="A187" s="78">
        <v>186</v>
      </c>
      <c r="B187" s="78" t="s">
        <v>340</v>
      </c>
      <c r="C187" s="78" t="s">
        <v>571</v>
      </c>
      <c r="D187" s="78" t="s">
        <v>349</v>
      </c>
      <c r="E187" s="78" t="s">
        <v>347</v>
      </c>
      <c r="F187" s="78" t="s">
        <v>317</v>
      </c>
      <c r="G187" s="78" t="s">
        <v>318</v>
      </c>
      <c r="H187" s="78" t="s">
        <v>319</v>
      </c>
      <c r="I187" s="78" t="s">
        <v>320</v>
      </c>
      <c r="J187" s="78" t="s">
        <v>321</v>
      </c>
      <c r="K187" s="78" t="s">
        <v>322</v>
      </c>
      <c r="L187" s="78" t="s">
        <v>323</v>
      </c>
      <c r="M187" s="78" t="s">
        <v>324</v>
      </c>
      <c r="N187" s="78" t="s">
        <v>325</v>
      </c>
      <c r="AB187" s="79" t="s">
        <v>659</v>
      </c>
      <c r="AC187" s="79" t="s">
        <v>660</v>
      </c>
    </row>
    <row r="188" spans="1:29" ht="13.5" customHeight="1">
      <c r="A188" s="78">
        <v>187</v>
      </c>
      <c r="B188" s="78" t="s">
        <v>340</v>
      </c>
      <c r="C188" s="78" t="s">
        <v>572</v>
      </c>
      <c r="D188" s="78" t="s">
        <v>349</v>
      </c>
      <c r="E188" s="78" t="s">
        <v>347</v>
      </c>
      <c r="F188" s="78" t="s">
        <v>317</v>
      </c>
      <c r="G188" s="78" t="s">
        <v>318</v>
      </c>
      <c r="H188" s="78" t="s">
        <v>319</v>
      </c>
      <c r="I188" s="78" t="s">
        <v>320</v>
      </c>
      <c r="J188" s="78" t="s">
        <v>321</v>
      </c>
      <c r="K188" s="78" t="s">
        <v>322</v>
      </c>
      <c r="L188" s="78" t="s">
        <v>323</v>
      </c>
      <c r="M188" s="78" t="s">
        <v>324</v>
      </c>
      <c r="N188" s="78" t="s">
        <v>325</v>
      </c>
      <c r="O188" s="78" t="s">
        <v>326</v>
      </c>
      <c r="AB188" s="79" t="s">
        <v>659</v>
      </c>
      <c r="AC188" s="79" t="s">
        <v>660</v>
      </c>
    </row>
    <row r="189" spans="1:29" ht="13.5" customHeight="1">
      <c r="A189" s="78">
        <v>188</v>
      </c>
      <c r="B189" s="78" t="s">
        <v>340</v>
      </c>
      <c r="C189" s="78" t="s">
        <v>573</v>
      </c>
      <c r="D189" s="78" t="s">
        <v>349</v>
      </c>
      <c r="E189" s="78" t="s">
        <v>347</v>
      </c>
      <c r="F189" s="78" t="s">
        <v>317</v>
      </c>
      <c r="G189" s="78" t="s">
        <v>318</v>
      </c>
      <c r="H189" s="78" t="s">
        <v>319</v>
      </c>
      <c r="I189" s="78" t="s">
        <v>320</v>
      </c>
      <c r="J189" s="78" t="s">
        <v>321</v>
      </c>
      <c r="K189" s="78" t="s">
        <v>322</v>
      </c>
      <c r="L189" s="78" t="s">
        <v>323</v>
      </c>
      <c r="M189" s="78" t="s">
        <v>324</v>
      </c>
      <c r="N189" s="78" t="s">
        <v>325</v>
      </c>
      <c r="O189" s="78" t="s">
        <v>326</v>
      </c>
      <c r="P189" s="78" t="s">
        <v>327</v>
      </c>
      <c r="AB189" s="79" t="s">
        <v>659</v>
      </c>
      <c r="AC189" s="79" t="s">
        <v>660</v>
      </c>
    </row>
    <row r="190" spans="1:29" ht="13.5" customHeight="1">
      <c r="A190" s="78">
        <v>189</v>
      </c>
      <c r="B190" s="78" t="s">
        <v>340</v>
      </c>
      <c r="C190" s="78" t="s">
        <v>574</v>
      </c>
      <c r="D190" s="78" t="s">
        <v>349</v>
      </c>
      <c r="E190" s="78" t="s">
        <v>347</v>
      </c>
      <c r="F190" s="78" t="s">
        <v>317</v>
      </c>
      <c r="G190" s="78" t="s">
        <v>318</v>
      </c>
      <c r="H190" s="78" t="s">
        <v>319</v>
      </c>
      <c r="I190" s="78" t="s">
        <v>320</v>
      </c>
      <c r="J190" s="78" t="s">
        <v>321</v>
      </c>
      <c r="K190" s="78" t="s">
        <v>322</v>
      </c>
      <c r="L190" s="78" t="s">
        <v>323</v>
      </c>
      <c r="M190" s="78" t="s">
        <v>324</v>
      </c>
      <c r="N190" s="78" t="s">
        <v>325</v>
      </c>
      <c r="O190" s="78" t="s">
        <v>326</v>
      </c>
      <c r="P190" s="78" t="s">
        <v>327</v>
      </c>
      <c r="Q190" s="78" t="s">
        <v>328</v>
      </c>
      <c r="AB190" s="79" t="s">
        <v>659</v>
      </c>
      <c r="AC190" s="79" t="s">
        <v>660</v>
      </c>
    </row>
    <row r="191" spans="1:29" ht="13.5" customHeight="1">
      <c r="A191" s="78">
        <v>190</v>
      </c>
      <c r="B191" s="78" t="s">
        <v>340</v>
      </c>
      <c r="C191" s="78" t="s">
        <v>575</v>
      </c>
      <c r="D191" s="78" t="s">
        <v>349</v>
      </c>
      <c r="E191" s="78" t="s">
        <v>347</v>
      </c>
      <c r="F191" s="78" t="s">
        <v>317</v>
      </c>
      <c r="G191" s="78" t="s">
        <v>318</v>
      </c>
      <c r="H191" s="78" t="s">
        <v>319</v>
      </c>
      <c r="I191" s="78" t="s">
        <v>320</v>
      </c>
      <c r="J191" s="78" t="s">
        <v>321</v>
      </c>
      <c r="K191" s="78" t="s">
        <v>322</v>
      </c>
      <c r="L191" s="78" t="s">
        <v>323</v>
      </c>
      <c r="M191" s="78" t="s">
        <v>324</v>
      </c>
      <c r="N191" s="78" t="s">
        <v>325</v>
      </c>
      <c r="O191" s="78" t="s">
        <v>326</v>
      </c>
      <c r="P191" s="78" t="s">
        <v>327</v>
      </c>
      <c r="Q191" s="78" t="s">
        <v>328</v>
      </c>
      <c r="R191" s="78" t="s">
        <v>329</v>
      </c>
      <c r="AB191" s="79" t="s">
        <v>659</v>
      </c>
      <c r="AC191" s="79" t="s">
        <v>660</v>
      </c>
    </row>
    <row r="192" spans="1:29" ht="13.5" customHeight="1">
      <c r="A192" s="78">
        <v>191</v>
      </c>
      <c r="B192" s="78" t="s">
        <v>340</v>
      </c>
      <c r="C192" s="78" t="s">
        <v>576</v>
      </c>
      <c r="D192" s="78" t="s">
        <v>349</v>
      </c>
      <c r="E192" s="78" t="s">
        <v>347</v>
      </c>
      <c r="F192" s="78" t="s">
        <v>317</v>
      </c>
      <c r="G192" s="78" t="s">
        <v>318</v>
      </c>
      <c r="H192" s="78" t="s">
        <v>319</v>
      </c>
      <c r="I192" s="78" t="s">
        <v>320</v>
      </c>
      <c r="J192" s="78" t="s">
        <v>321</v>
      </c>
      <c r="K192" s="78" t="s">
        <v>322</v>
      </c>
      <c r="L192" s="78" t="s">
        <v>323</v>
      </c>
      <c r="M192" s="78" t="s">
        <v>324</v>
      </c>
      <c r="N192" s="78" t="s">
        <v>325</v>
      </c>
      <c r="O192" s="78" t="s">
        <v>326</v>
      </c>
      <c r="P192" s="78" t="s">
        <v>327</v>
      </c>
      <c r="Q192" s="78" t="s">
        <v>328</v>
      </c>
      <c r="R192" s="78" t="s">
        <v>329</v>
      </c>
      <c r="S192" s="78" t="s">
        <v>330</v>
      </c>
      <c r="AB192" s="79" t="s">
        <v>659</v>
      </c>
      <c r="AC192" s="79" t="s">
        <v>660</v>
      </c>
    </row>
    <row r="193" spans="1:29" ht="13.5" customHeight="1">
      <c r="A193" s="80">
        <v>192</v>
      </c>
      <c r="B193" s="80" t="s">
        <v>405</v>
      </c>
      <c r="C193" s="80" t="s">
        <v>577</v>
      </c>
      <c r="D193" s="80" t="s">
        <v>349</v>
      </c>
      <c r="E193" s="80" t="s">
        <v>347</v>
      </c>
      <c r="F193" s="80" t="s">
        <v>317</v>
      </c>
      <c r="G193" s="80" t="s">
        <v>318</v>
      </c>
      <c r="H193" s="80" t="s">
        <v>319</v>
      </c>
      <c r="I193" s="80" t="s">
        <v>320</v>
      </c>
      <c r="J193" s="80" t="s">
        <v>321</v>
      </c>
      <c r="K193" s="80" t="s">
        <v>322</v>
      </c>
      <c r="L193" s="80" t="s">
        <v>323</v>
      </c>
      <c r="M193" s="80" t="s">
        <v>324</v>
      </c>
      <c r="N193" s="80" t="s">
        <v>325</v>
      </c>
      <c r="O193" s="80" t="s">
        <v>326</v>
      </c>
      <c r="P193" s="80" t="s">
        <v>327</v>
      </c>
      <c r="Q193" s="80" t="s">
        <v>328</v>
      </c>
      <c r="R193" s="80" t="s">
        <v>329</v>
      </c>
      <c r="S193" s="80" t="s">
        <v>330</v>
      </c>
      <c r="T193" s="80" t="s">
        <v>331</v>
      </c>
      <c r="AB193" s="79" t="s">
        <v>659</v>
      </c>
      <c r="AC193" s="79" t="s">
        <v>660</v>
      </c>
    </row>
    <row r="194" spans="1:29" ht="13.5" customHeight="1">
      <c r="A194" s="80">
        <v>193</v>
      </c>
      <c r="B194" s="80" t="s">
        <v>405</v>
      </c>
      <c r="C194" s="80" t="s">
        <v>578</v>
      </c>
      <c r="D194" s="80" t="s">
        <v>349</v>
      </c>
      <c r="E194" s="80" t="s">
        <v>347</v>
      </c>
      <c r="F194" s="80" t="s">
        <v>317</v>
      </c>
      <c r="G194" s="80" t="s">
        <v>318</v>
      </c>
      <c r="H194" s="80" t="s">
        <v>319</v>
      </c>
      <c r="I194" s="80" t="s">
        <v>320</v>
      </c>
      <c r="J194" s="80" t="s">
        <v>321</v>
      </c>
      <c r="K194" s="80" t="s">
        <v>322</v>
      </c>
      <c r="L194" s="80" t="s">
        <v>323</v>
      </c>
      <c r="M194" s="80" t="s">
        <v>324</v>
      </c>
      <c r="N194" s="80" t="s">
        <v>325</v>
      </c>
      <c r="O194" s="80" t="s">
        <v>326</v>
      </c>
      <c r="P194" s="80" t="s">
        <v>327</v>
      </c>
      <c r="Q194" s="80" t="s">
        <v>328</v>
      </c>
      <c r="R194" s="80" t="s">
        <v>329</v>
      </c>
      <c r="S194" s="80" t="s">
        <v>330</v>
      </c>
      <c r="T194" s="80" t="s">
        <v>331</v>
      </c>
      <c r="U194" s="80" t="s">
        <v>332</v>
      </c>
      <c r="AB194" s="79" t="s">
        <v>659</v>
      </c>
      <c r="AC194" s="79" t="s">
        <v>660</v>
      </c>
    </row>
    <row r="195" spans="1:29" ht="13.5" customHeight="1">
      <c r="A195" s="78">
        <v>194</v>
      </c>
      <c r="B195" s="78" t="s">
        <v>340</v>
      </c>
      <c r="C195" s="78" t="s">
        <v>579</v>
      </c>
      <c r="D195" s="78" t="s">
        <v>349</v>
      </c>
      <c r="E195" s="78" t="s">
        <v>347</v>
      </c>
      <c r="F195" s="78" t="s">
        <v>317</v>
      </c>
      <c r="G195" s="78" t="s">
        <v>318</v>
      </c>
      <c r="H195" s="78" t="s">
        <v>319</v>
      </c>
      <c r="I195" s="78" t="s">
        <v>320</v>
      </c>
      <c r="J195" s="78" t="s">
        <v>321</v>
      </c>
      <c r="K195" s="78" t="s">
        <v>322</v>
      </c>
      <c r="L195" s="78" t="s">
        <v>323</v>
      </c>
      <c r="M195" s="78" t="s">
        <v>324</v>
      </c>
      <c r="N195" s="78" t="s">
        <v>325</v>
      </c>
      <c r="O195" s="78" t="s">
        <v>326</v>
      </c>
      <c r="P195" s="78" t="s">
        <v>327</v>
      </c>
      <c r="Q195" s="78" t="s">
        <v>328</v>
      </c>
      <c r="R195" s="78" t="s">
        <v>329</v>
      </c>
      <c r="S195" s="78" t="s">
        <v>330</v>
      </c>
      <c r="T195" s="78" t="s">
        <v>331</v>
      </c>
      <c r="U195" s="78" t="s">
        <v>332</v>
      </c>
      <c r="V195" s="78" t="s">
        <v>333</v>
      </c>
      <c r="AB195" s="79" t="s">
        <v>659</v>
      </c>
      <c r="AC195" s="79" t="s">
        <v>660</v>
      </c>
    </row>
    <row r="196" spans="1:29" ht="13.5" customHeight="1">
      <c r="A196" s="78">
        <v>195</v>
      </c>
      <c r="B196" s="78" t="s">
        <v>340</v>
      </c>
      <c r="C196" s="78" t="s">
        <v>580</v>
      </c>
      <c r="D196" s="78" t="s">
        <v>349</v>
      </c>
      <c r="E196" s="78" t="s">
        <v>347</v>
      </c>
      <c r="F196" s="78" t="s">
        <v>317</v>
      </c>
      <c r="G196" s="78" t="s">
        <v>318</v>
      </c>
      <c r="H196" s="78" t="s">
        <v>319</v>
      </c>
      <c r="I196" s="78" t="s">
        <v>320</v>
      </c>
      <c r="J196" s="78" t="s">
        <v>321</v>
      </c>
      <c r="K196" s="78" t="s">
        <v>322</v>
      </c>
      <c r="L196" s="78" t="s">
        <v>323</v>
      </c>
      <c r="M196" s="78" t="s">
        <v>324</v>
      </c>
      <c r="N196" s="78" t="s">
        <v>325</v>
      </c>
      <c r="O196" s="78" t="s">
        <v>326</v>
      </c>
      <c r="P196" s="78" t="s">
        <v>327</v>
      </c>
      <c r="Q196" s="78" t="s">
        <v>328</v>
      </c>
      <c r="R196" s="78" t="s">
        <v>329</v>
      </c>
      <c r="S196" s="78" t="s">
        <v>330</v>
      </c>
      <c r="T196" s="78" t="s">
        <v>331</v>
      </c>
      <c r="U196" s="78" t="s">
        <v>332</v>
      </c>
      <c r="V196" s="78" t="s">
        <v>333</v>
      </c>
      <c r="W196" s="78" t="s">
        <v>334</v>
      </c>
      <c r="AB196" s="79" t="s">
        <v>659</v>
      </c>
      <c r="AC196" s="79" t="s">
        <v>660</v>
      </c>
    </row>
    <row r="197" spans="1:29" ht="13.5" customHeight="1">
      <c r="A197" s="80">
        <v>196</v>
      </c>
      <c r="B197" s="80" t="s">
        <v>405</v>
      </c>
      <c r="C197" s="80" t="s">
        <v>581</v>
      </c>
      <c r="D197" s="80" t="s">
        <v>349</v>
      </c>
      <c r="E197" s="80" t="s">
        <v>347</v>
      </c>
      <c r="F197" s="80" t="s">
        <v>317</v>
      </c>
      <c r="G197" s="80" t="s">
        <v>318</v>
      </c>
      <c r="H197" s="80" t="s">
        <v>319</v>
      </c>
      <c r="I197" s="80" t="s">
        <v>320</v>
      </c>
      <c r="J197" s="80" t="s">
        <v>321</v>
      </c>
      <c r="K197" s="80" t="s">
        <v>322</v>
      </c>
      <c r="L197" s="80" t="s">
        <v>323</v>
      </c>
      <c r="M197" s="80" t="s">
        <v>324</v>
      </c>
      <c r="N197" s="80" t="s">
        <v>325</v>
      </c>
      <c r="O197" s="80" t="s">
        <v>326</v>
      </c>
      <c r="P197" s="80" t="s">
        <v>327</v>
      </c>
      <c r="Q197" s="80" t="s">
        <v>328</v>
      </c>
      <c r="R197" s="80" t="s">
        <v>329</v>
      </c>
      <c r="S197" s="80" t="s">
        <v>330</v>
      </c>
      <c r="T197" s="80" t="s">
        <v>331</v>
      </c>
      <c r="U197" s="80" t="s">
        <v>332</v>
      </c>
      <c r="V197" s="80" t="s">
        <v>333</v>
      </c>
      <c r="W197" s="80" t="s">
        <v>334</v>
      </c>
      <c r="X197" s="80" t="s">
        <v>335</v>
      </c>
      <c r="AB197" s="79" t="s">
        <v>659</v>
      </c>
      <c r="AC197" s="79" t="s">
        <v>660</v>
      </c>
    </row>
    <row r="198" spans="1:29" ht="13.5" customHeight="1">
      <c r="A198" s="80">
        <v>197</v>
      </c>
      <c r="B198" s="80" t="s">
        <v>405</v>
      </c>
      <c r="C198" s="80" t="s">
        <v>582</v>
      </c>
      <c r="D198" s="80" t="s">
        <v>349</v>
      </c>
      <c r="E198" s="80" t="s">
        <v>347</v>
      </c>
      <c r="F198" s="80" t="s">
        <v>317</v>
      </c>
      <c r="G198" s="80" t="s">
        <v>318</v>
      </c>
      <c r="H198" s="80" t="s">
        <v>319</v>
      </c>
      <c r="I198" s="80" t="s">
        <v>320</v>
      </c>
      <c r="J198" s="80" t="s">
        <v>321</v>
      </c>
      <c r="K198" s="80" t="s">
        <v>322</v>
      </c>
      <c r="L198" s="80" t="s">
        <v>323</v>
      </c>
      <c r="M198" s="80" t="s">
        <v>324</v>
      </c>
      <c r="N198" s="80" t="s">
        <v>325</v>
      </c>
      <c r="O198" s="80" t="s">
        <v>326</v>
      </c>
      <c r="P198" s="80" t="s">
        <v>327</v>
      </c>
      <c r="Q198" s="80" t="s">
        <v>328</v>
      </c>
      <c r="R198" s="80" t="s">
        <v>329</v>
      </c>
      <c r="S198" s="80" t="s">
        <v>330</v>
      </c>
      <c r="T198" s="80" t="s">
        <v>331</v>
      </c>
      <c r="U198" s="80" t="s">
        <v>332</v>
      </c>
      <c r="V198" s="80" t="s">
        <v>333</v>
      </c>
      <c r="W198" s="80" t="s">
        <v>334</v>
      </c>
      <c r="X198" s="80" t="s">
        <v>335</v>
      </c>
      <c r="Y198" s="80" t="s">
        <v>336</v>
      </c>
      <c r="AB198" s="79" t="s">
        <v>659</v>
      </c>
      <c r="AC198" s="79" t="s">
        <v>660</v>
      </c>
    </row>
    <row r="199" spans="1:29" ht="13.5" customHeight="1">
      <c r="A199" s="80">
        <v>198</v>
      </c>
      <c r="B199" s="80" t="s">
        <v>405</v>
      </c>
      <c r="C199" s="80" t="s">
        <v>583</v>
      </c>
      <c r="D199" s="80" t="s">
        <v>349</v>
      </c>
      <c r="E199" s="80" t="s">
        <v>347</v>
      </c>
      <c r="F199" s="80" t="s">
        <v>317</v>
      </c>
      <c r="G199" s="80" t="s">
        <v>318</v>
      </c>
      <c r="H199" s="80" t="s">
        <v>319</v>
      </c>
      <c r="I199" s="80" t="s">
        <v>320</v>
      </c>
      <c r="J199" s="80" t="s">
        <v>321</v>
      </c>
      <c r="K199" s="80" t="s">
        <v>322</v>
      </c>
      <c r="L199" s="80" t="s">
        <v>323</v>
      </c>
      <c r="M199" s="80" t="s">
        <v>324</v>
      </c>
      <c r="N199" s="80" t="s">
        <v>325</v>
      </c>
      <c r="O199" s="80" t="s">
        <v>326</v>
      </c>
      <c r="P199" s="80" t="s">
        <v>327</v>
      </c>
      <c r="Q199" s="80" t="s">
        <v>328</v>
      </c>
      <c r="R199" s="80" t="s">
        <v>329</v>
      </c>
      <c r="S199" s="80" t="s">
        <v>330</v>
      </c>
      <c r="T199" s="80" t="s">
        <v>331</v>
      </c>
      <c r="U199" s="80" t="s">
        <v>332</v>
      </c>
      <c r="V199" s="80" t="s">
        <v>333</v>
      </c>
      <c r="W199" s="80" t="s">
        <v>334</v>
      </c>
      <c r="X199" s="80" t="s">
        <v>335</v>
      </c>
      <c r="Y199" s="80" t="s">
        <v>336</v>
      </c>
      <c r="Z199" s="80" t="s">
        <v>337</v>
      </c>
      <c r="AB199" s="79" t="s">
        <v>659</v>
      </c>
      <c r="AC199" s="79" t="s">
        <v>660</v>
      </c>
    </row>
    <row r="200" spans="1:29" ht="13.5" customHeight="1">
      <c r="A200" s="80">
        <v>199</v>
      </c>
      <c r="B200" s="80" t="s">
        <v>405</v>
      </c>
      <c r="C200" s="80" t="s">
        <v>584</v>
      </c>
      <c r="D200" s="80" t="s">
        <v>349</v>
      </c>
      <c r="E200" s="80" t="s">
        <v>347</v>
      </c>
      <c r="F200" s="80" t="s">
        <v>317</v>
      </c>
      <c r="G200" s="80" t="s">
        <v>318</v>
      </c>
      <c r="H200" s="80" t="s">
        <v>319</v>
      </c>
      <c r="I200" s="80" t="s">
        <v>320</v>
      </c>
      <c r="J200" s="80" t="s">
        <v>321</v>
      </c>
      <c r="K200" s="80" t="s">
        <v>322</v>
      </c>
      <c r="L200" s="80" t="s">
        <v>323</v>
      </c>
      <c r="M200" s="80" t="s">
        <v>324</v>
      </c>
      <c r="N200" s="80" t="s">
        <v>325</v>
      </c>
      <c r="O200" s="80" t="s">
        <v>326</v>
      </c>
      <c r="P200" s="80" t="s">
        <v>327</v>
      </c>
      <c r="Q200" s="80" t="s">
        <v>328</v>
      </c>
      <c r="R200" s="80" t="s">
        <v>329</v>
      </c>
      <c r="S200" s="80" t="s">
        <v>330</v>
      </c>
      <c r="T200" s="80" t="s">
        <v>331</v>
      </c>
      <c r="U200" s="80" t="s">
        <v>332</v>
      </c>
      <c r="V200" s="80" t="s">
        <v>333</v>
      </c>
      <c r="W200" s="80" t="s">
        <v>334</v>
      </c>
      <c r="X200" s="80" t="s">
        <v>335</v>
      </c>
      <c r="Y200" s="80" t="s">
        <v>336</v>
      </c>
      <c r="Z200" s="80" t="s">
        <v>337</v>
      </c>
      <c r="AA200" s="80" t="s">
        <v>338</v>
      </c>
      <c r="AB200" s="79" t="s">
        <v>659</v>
      </c>
      <c r="AC200" s="79" t="s">
        <v>660</v>
      </c>
    </row>
    <row r="201" spans="1:29" ht="15" customHeight="1">
      <c r="A201" s="81">
        <v>200</v>
      </c>
      <c r="B201" s="81" t="s">
        <v>663</v>
      </c>
      <c r="C201" s="82" t="s">
        <v>52</v>
      </c>
      <c r="D201" s="82" t="s">
        <v>347</v>
      </c>
      <c r="E201" s="82" t="s">
        <v>317</v>
      </c>
      <c r="F201" s="82" t="s">
        <v>318</v>
      </c>
      <c r="G201" s="82" t="s">
        <v>319</v>
      </c>
      <c r="H201" s="82" t="s">
        <v>320</v>
      </c>
      <c r="I201" s="82" t="s">
        <v>321</v>
      </c>
      <c r="J201" s="82" t="s">
        <v>322</v>
      </c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3" t="s">
        <v>670</v>
      </c>
      <c r="AC201" s="83" t="s">
        <v>671</v>
      </c>
    </row>
    <row r="202" spans="1:29" ht="15" customHeight="1">
      <c r="A202" s="81">
        <v>201</v>
      </c>
      <c r="B202" s="81" t="s">
        <v>663</v>
      </c>
      <c r="C202" s="82" t="s">
        <v>347</v>
      </c>
      <c r="D202" s="82" t="s">
        <v>347</v>
      </c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3" t="s">
        <v>670</v>
      </c>
      <c r="AC202" s="83" t="s">
        <v>672</v>
      </c>
    </row>
    <row r="203" spans="1:29" ht="15" customHeight="1">
      <c r="A203" s="81">
        <v>202</v>
      </c>
      <c r="B203" s="81" t="s">
        <v>663</v>
      </c>
      <c r="C203" s="82" t="s">
        <v>673</v>
      </c>
      <c r="D203" s="82" t="s">
        <v>347</v>
      </c>
      <c r="E203" s="82" t="s">
        <v>385</v>
      </c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3" t="s">
        <v>670</v>
      </c>
      <c r="AC203" s="83" t="s">
        <v>672</v>
      </c>
    </row>
    <row r="204" spans="1:29" ht="15" customHeight="1">
      <c r="A204" s="81">
        <v>203</v>
      </c>
      <c r="B204" s="81" t="s">
        <v>663</v>
      </c>
      <c r="C204" s="82" t="s">
        <v>674</v>
      </c>
      <c r="D204" s="82" t="s">
        <v>347</v>
      </c>
      <c r="E204" s="82" t="s">
        <v>317</v>
      </c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3" t="s">
        <v>670</v>
      </c>
      <c r="AC204" s="83" t="s">
        <v>672</v>
      </c>
    </row>
    <row r="205" spans="1:29" ht="15" customHeight="1">
      <c r="A205" s="81">
        <v>204</v>
      </c>
      <c r="B205" s="81" t="s">
        <v>663</v>
      </c>
      <c r="C205" s="82" t="s">
        <v>675</v>
      </c>
      <c r="D205" s="82" t="s">
        <v>347</v>
      </c>
      <c r="E205" s="82" t="s">
        <v>317</v>
      </c>
      <c r="F205" s="82" t="s">
        <v>385</v>
      </c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3" t="s">
        <v>670</v>
      </c>
      <c r="AC205" s="83" t="s">
        <v>672</v>
      </c>
    </row>
    <row r="206" spans="1:29" ht="15" customHeight="1">
      <c r="A206" s="81">
        <v>205</v>
      </c>
      <c r="B206" s="81" t="s">
        <v>663</v>
      </c>
      <c r="C206" s="82" t="s">
        <v>676</v>
      </c>
      <c r="D206" s="82" t="s">
        <v>347</v>
      </c>
      <c r="E206" s="82" t="s">
        <v>317</v>
      </c>
      <c r="F206" s="82" t="s">
        <v>318</v>
      </c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3" t="s">
        <v>670</v>
      </c>
      <c r="AC206" s="83" t="s">
        <v>672</v>
      </c>
    </row>
    <row r="207" spans="1:29" ht="15" customHeight="1">
      <c r="A207" s="81">
        <v>206</v>
      </c>
      <c r="B207" s="81" t="s">
        <v>663</v>
      </c>
      <c r="C207" s="82" t="s">
        <v>677</v>
      </c>
      <c r="D207" s="82" t="s">
        <v>347</v>
      </c>
      <c r="E207" s="82" t="s">
        <v>317</v>
      </c>
      <c r="F207" s="82" t="s">
        <v>318</v>
      </c>
      <c r="G207" s="82" t="s">
        <v>385</v>
      </c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3" t="s">
        <v>670</v>
      </c>
      <c r="AC207" s="83" t="s">
        <v>672</v>
      </c>
    </row>
    <row r="208" spans="1:29" ht="15" customHeight="1">
      <c r="A208" s="81">
        <v>207</v>
      </c>
      <c r="B208" s="81" t="s">
        <v>663</v>
      </c>
      <c r="C208" s="82" t="s">
        <v>678</v>
      </c>
      <c r="D208" s="82" t="s">
        <v>347</v>
      </c>
      <c r="E208" s="82" t="s">
        <v>317</v>
      </c>
      <c r="F208" s="82" t="s">
        <v>318</v>
      </c>
      <c r="G208" s="82" t="s">
        <v>319</v>
      </c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3" t="s">
        <v>670</v>
      </c>
      <c r="AC208" s="83" t="s">
        <v>672</v>
      </c>
    </row>
    <row r="209" spans="1:29" ht="15" customHeight="1">
      <c r="A209" s="81">
        <v>208</v>
      </c>
      <c r="B209" s="81" t="s">
        <v>663</v>
      </c>
      <c r="C209" s="82" t="s">
        <v>679</v>
      </c>
      <c r="D209" s="82" t="s">
        <v>347</v>
      </c>
      <c r="E209" s="82" t="s">
        <v>317</v>
      </c>
      <c r="F209" s="82" t="s">
        <v>318</v>
      </c>
      <c r="G209" s="82" t="s">
        <v>319</v>
      </c>
      <c r="H209" s="82" t="s">
        <v>385</v>
      </c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3" t="s">
        <v>670</v>
      </c>
      <c r="AC209" s="83" t="s">
        <v>672</v>
      </c>
    </row>
    <row r="210" spans="1:29" ht="15" customHeight="1">
      <c r="A210" s="81">
        <v>209</v>
      </c>
      <c r="B210" s="81" t="s">
        <v>663</v>
      </c>
      <c r="C210" s="82" t="s">
        <v>680</v>
      </c>
      <c r="D210" s="82" t="s">
        <v>347</v>
      </c>
      <c r="E210" s="82" t="s">
        <v>317</v>
      </c>
      <c r="F210" s="82" t="s">
        <v>318</v>
      </c>
      <c r="G210" s="82" t="s">
        <v>319</v>
      </c>
      <c r="H210" s="82" t="s">
        <v>320</v>
      </c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3" t="s">
        <v>670</v>
      </c>
      <c r="AC210" s="83" t="s">
        <v>672</v>
      </c>
    </row>
    <row r="211" spans="1:29" ht="15" customHeight="1">
      <c r="A211" s="81">
        <v>210</v>
      </c>
      <c r="B211" s="81" t="s">
        <v>663</v>
      </c>
      <c r="C211" s="82" t="s">
        <v>681</v>
      </c>
      <c r="D211" s="82" t="s">
        <v>347</v>
      </c>
      <c r="E211" s="82" t="s">
        <v>317</v>
      </c>
      <c r="F211" s="82" t="s">
        <v>318</v>
      </c>
      <c r="G211" s="82" t="s">
        <v>319</v>
      </c>
      <c r="H211" s="82" t="s">
        <v>320</v>
      </c>
      <c r="I211" s="82" t="s">
        <v>385</v>
      </c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3" t="s">
        <v>670</v>
      </c>
      <c r="AC211" s="83" t="s">
        <v>672</v>
      </c>
    </row>
    <row r="212" spans="1:29" ht="15" customHeight="1">
      <c r="A212" s="81">
        <v>211</v>
      </c>
      <c r="B212" s="81" t="s">
        <v>663</v>
      </c>
      <c r="C212" s="82" t="s">
        <v>682</v>
      </c>
      <c r="D212" s="82" t="s">
        <v>347</v>
      </c>
      <c r="E212" s="82" t="s">
        <v>317</v>
      </c>
      <c r="F212" s="82" t="s">
        <v>318</v>
      </c>
      <c r="G212" s="82" t="s">
        <v>319</v>
      </c>
      <c r="H212" s="82" t="s">
        <v>320</v>
      </c>
      <c r="I212" s="82" t="s">
        <v>321</v>
      </c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3" t="s">
        <v>670</v>
      </c>
      <c r="AC212" s="83" t="s">
        <v>672</v>
      </c>
    </row>
    <row r="213" spans="1:29" ht="15" customHeight="1">
      <c r="A213" s="81">
        <v>212</v>
      </c>
      <c r="B213" s="81" t="s">
        <v>663</v>
      </c>
      <c r="C213" s="82" t="s">
        <v>683</v>
      </c>
      <c r="D213" s="82" t="s">
        <v>347</v>
      </c>
      <c r="E213" s="82" t="s">
        <v>317</v>
      </c>
      <c r="F213" s="82" t="s">
        <v>318</v>
      </c>
      <c r="G213" s="82" t="s">
        <v>319</v>
      </c>
      <c r="H213" s="82" t="s">
        <v>320</v>
      </c>
      <c r="I213" s="82" t="s">
        <v>321</v>
      </c>
      <c r="J213" s="82" t="s">
        <v>385</v>
      </c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3" t="s">
        <v>670</v>
      </c>
      <c r="AC213" s="83" t="s">
        <v>672</v>
      </c>
    </row>
    <row r="214" spans="1:29" ht="15" customHeight="1">
      <c r="A214" s="81">
        <v>213</v>
      </c>
      <c r="B214" s="81" t="s">
        <v>663</v>
      </c>
      <c r="C214" s="82" t="s">
        <v>684</v>
      </c>
      <c r="D214" s="82" t="s">
        <v>347</v>
      </c>
      <c r="E214" s="82" t="s">
        <v>317</v>
      </c>
      <c r="F214" s="82" t="s">
        <v>318</v>
      </c>
      <c r="G214" s="82" t="s">
        <v>319</v>
      </c>
      <c r="H214" s="82" t="s">
        <v>320</v>
      </c>
      <c r="I214" s="82" t="s">
        <v>321</v>
      </c>
      <c r="J214" s="82" t="s">
        <v>322</v>
      </c>
      <c r="K214" s="82" t="s">
        <v>385</v>
      </c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3" t="s">
        <v>670</v>
      </c>
      <c r="AC214" s="83" t="s">
        <v>672</v>
      </c>
    </row>
    <row r="215" spans="1:29" ht="15" customHeight="1">
      <c r="A215" s="81">
        <v>214</v>
      </c>
      <c r="B215" s="81" t="s">
        <v>663</v>
      </c>
      <c r="C215" s="82" t="s">
        <v>685</v>
      </c>
      <c r="D215" s="82" t="s">
        <v>347</v>
      </c>
      <c r="E215" s="82" t="s">
        <v>317</v>
      </c>
      <c r="F215" s="82" t="s">
        <v>318</v>
      </c>
      <c r="G215" s="82" t="s">
        <v>319</v>
      </c>
      <c r="H215" s="82" t="s">
        <v>320</v>
      </c>
      <c r="I215" s="82" t="s">
        <v>321</v>
      </c>
      <c r="J215" s="82" t="s">
        <v>322</v>
      </c>
      <c r="K215" s="82" t="s">
        <v>323</v>
      </c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3" t="s">
        <v>670</v>
      </c>
      <c r="AC215" s="83" t="s">
        <v>672</v>
      </c>
    </row>
    <row r="216" spans="1:29" ht="15" customHeight="1">
      <c r="A216" s="81">
        <v>215</v>
      </c>
      <c r="B216" s="81" t="s">
        <v>663</v>
      </c>
      <c r="C216" s="82" t="s">
        <v>686</v>
      </c>
      <c r="D216" s="82" t="s">
        <v>347</v>
      </c>
      <c r="E216" s="82" t="s">
        <v>317</v>
      </c>
      <c r="F216" s="82" t="s">
        <v>318</v>
      </c>
      <c r="G216" s="82" t="s">
        <v>319</v>
      </c>
      <c r="H216" s="82" t="s">
        <v>320</v>
      </c>
      <c r="I216" s="82" t="s">
        <v>321</v>
      </c>
      <c r="J216" s="82" t="s">
        <v>322</v>
      </c>
      <c r="K216" s="82" t="s">
        <v>323</v>
      </c>
      <c r="L216" s="82" t="s">
        <v>385</v>
      </c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3" t="s">
        <v>670</v>
      </c>
      <c r="AC216" s="83" t="s">
        <v>672</v>
      </c>
    </row>
    <row r="217" spans="1:29" ht="15" customHeight="1">
      <c r="A217" s="81">
        <v>216</v>
      </c>
      <c r="B217" s="81" t="s">
        <v>663</v>
      </c>
      <c r="C217" s="82" t="s">
        <v>687</v>
      </c>
      <c r="D217" s="82" t="s">
        <v>347</v>
      </c>
      <c r="E217" s="82" t="s">
        <v>317</v>
      </c>
      <c r="F217" s="82" t="s">
        <v>318</v>
      </c>
      <c r="G217" s="82" t="s">
        <v>319</v>
      </c>
      <c r="H217" s="82" t="s">
        <v>320</v>
      </c>
      <c r="I217" s="82" t="s">
        <v>321</v>
      </c>
      <c r="J217" s="82" t="s">
        <v>322</v>
      </c>
      <c r="K217" s="82" t="s">
        <v>323</v>
      </c>
      <c r="L217" s="82" t="s">
        <v>324</v>
      </c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3" t="s">
        <v>670</v>
      </c>
      <c r="AC217" s="83" t="s">
        <v>672</v>
      </c>
    </row>
    <row r="218" spans="1:29" ht="15" customHeight="1">
      <c r="A218" s="81">
        <v>217</v>
      </c>
      <c r="B218" s="81" t="s">
        <v>663</v>
      </c>
      <c r="C218" s="82" t="s">
        <v>688</v>
      </c>
      <c r="D218" s="82" t="s">
        <v>347</v>
      </c>
      <c r="E218" s="82" t="s">
        <v>317</v>
      </c>
      <c r="F218" s="82" t="s">
        <v>318</v>
      </c>
      <c r="G218" s="82" t="s">
        <v>319</v>
      </c>
      <c r="H218" s="82" t="s">
        <v>320</v>
      </c>
      <c r="I218" s="82" t="s">
        <v>321</v>
      </c>
      <c r="J218" s="82" t="s">
        <v>322</v>
      </c>
      <c r="K218" s="82" t="s">
        <v>323</v>
      </c>
      <c r="L218" s="82" t="s">
        <v>324</v>
      </c>
      <c r="M218" s="82" t="s">
        <v>385</v>
      </c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3" t="s">
        <v>670</v>
      </c>
      <c r="AC218" s="83" t="s">
        <v>672</v>
      </c>
    </row>
    <row r="219" spans="1:29" ht="15" customHeight="1">
      <c r="A219" s="81">
        <v>218</v>
      </c>
      <c r="B219" s="81" t="s">
        <v>663</v>
      </c>
      <c r="C219" s="82" t="s">
        <v>689</v>
      </c>
      <c r="D219" s="82" t="s">
        <v>347</v>
      </c>
      <c r="E219" s="82" t="s">
        <v>317</v>
      </c>
      <c r="F219" s="82" t="s">
        <v>318</v>
      </c>
      <c r="G219" s="82" t="s">
        <v>319</v>
      </c>
      <c r="H219" s="82" t="s">
        <v>320</v>
      </c>
      <c r="I219" s="82" t="s">
        <v>321</v>
      </c>
      <c r="J219" s="82" t="s">
        <v>322</v>
      </c>
      <c r="K219" s="82" t="s">
        <v>323</v>
      </c>
      <c r="L219" s="82" t="s">
        <v>324</v>
      </c>
      <c r="M219" s="82" t="s">
        <v>325</v>
      </c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3" t="s">
        <v>670</v>
      </c>
      <c r="AC219" s="83" t="s">
        <v>672</v>
      </c>
    </row>
    <row r="220" spans="1:29" ht="15" customHeight="1">
      <c r="A220" s="81">
        <v>219</v>
      </c>
      <c r="B220" s="81" t="s">
        <v>663</v>
      </c>
      <c r="C220" s="82" t="s">
        <v>690</v>
      </c>
      <c r="D220" s="82" t="s">
        <v>347</v>
      </c>
      <c r="E220" s="82" t="s">
        <v>317</v>
      </c>
      <c r="F220" s="82" t="s">
        <v>318</v>
      </c>
      <c r="G220" s="82" t="s">
        <v>319</v>
      </c>
      <c r="H220" s="82" t="s">
        <v>320</v>
      </c>
      <c r="I220" s="82" t="s">
        <v>321</v>
      </c>
      <c r="J220" s="82" t="s">
        <v>322</v>
      </c>
      <c r="K220" s="82" t="s">
        <v>323</v>
      </c>
      <c r="L220" s="82" t="s">
        <v>324</v>
      </c>
      <c r="M220" s="82" t="s">
        <v>325</v>
      </c>
      <c r="N220" s="82" t="s">
        <v>385</v>
      </c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3" t="s">
        <v>670</v>
      </c>
      <c r="AC220" s="83" t="s">
        <v>672</v>
      </c>
    </row>
    <row r="221" spans="1:29" ht="15" customHeight="1">
      <c r="A221" s="81">
        <v>220</v>
      </c>
      <c r="B221" s="81" t="s">
        <v>663</v>
      </c>
      <c r="C221" s="82" t="s">
        <v>691</v>
      </c>
      <c r="D221" s="82" t="s">
        <v>347</v>
      </c>
      <c r="E221" s="82" t="s">
        <v>317</v>
      </c>
      <c r="F221" s="82" t="s">
        <v>318</v>
      </c>
      <c r="G221" s="82" t="s">
        <v>319</v>
      </c>
      <c r="H221" s="82" t="s">
        <v>320</v>
      </c>
      <c r="I221" s="82" t="s">
        <v>321</v>
      </c>
      <c r="J221" s="82" t="s">
        <v>322</v>
      </c>
      <c r="K221" s="82" t="s">
        <v>323</v>
      </c>
      <c r="L221" s="82" t="s">
        <v>324</v>
      </c>
      <c r="M221" s="82" t="s">
        <v>325</v>
      </c>
      <c r="N221" s="82" t="s">
        <v>326</v>
      </c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3" t="s">
        <v>670</v>
      </c>
      <c r="AC221" s="83" t="s">
        <v>672</v>
      </c>
    </row>
    <row r="222" spans="1:29" ht="15" customHeight="1">
      <c r="A222" s="81">
        <v>221</v>
      </c>
      <c r="B222" s="81" t="s">
        <v>663</v>
      </c>
      <c r="C222" s="82" t="s">
        <v>692</v>
      </c>
      <c r="D222" s="82" t="s">
        <v>347</v>
      </c>
      <c r="E222" s="82" t="s">
        <v>317</v>
      </c>
      <c r="F222" s="82" t="s">
        <v>318</v>
      </c>
      <c r="G222" s="82" t="s">
        <v>319</v>
      </c>
      <c r="H222" s="82" t="s">
        <v>320</v>
      </c>
      <c r="I222" s="82" t="s">
        <v>321</v>
      </c>
      <c r="J222" s="82" t="s">
        <v>322</v>
      </c>
      <c r="K222" s="82" t="s">
        <v>323</v>
      </c>
      <c r="L222" s="82" t="s">
        <v>324</v>
      </c>
      <c r="M222" s="82" t="s">
        <v>325</v>
      </c>
      <c r="N222" s="82" t="s">
        <v>326</v>
      </c>
      <c r="O222" s="82" t="s">
        <v>385</v>
      </c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3" t="s">
        <v>670</v>
      </c>
      <c r="AC222" s="83" t="s">
        <v>672</v>
      </c>
    </row>
    <row r="223" spans="1:29" ht="15" customHeight="1">
      <c r="A223" s="81">
        <v>222</v>
      </c>
      <c r="B223" s="81" t="s">
        <v>663</v>
      </c>
      <c r="C223" s="82" t="s">
        <v>693</v>
      </c>
      <c r="D223" s="82" t="s">
        <v>347</v>
      </c>
      <c r="E223" s="82" t="s">
        <v>317</v>
      </c>
      <c r="F223" s="82" t="s">
        <v>318</v>
      </c>
      <c r="G223" s="82" t="s">
        <v>319</v>
      </c>
      <c r="H223" s="82" t="s">
        <v>320</v>
      </c>
      <c r="I223" s="82" t="s">
        <v>321</v>
      </c>
      <c r="J223" s="82" t="s">
        <v>322</v>
      </c>
      <c r="K223" s="82" t="s">
        <v>323</v>
      </c>
      <c r="L223" s="82" t="s">
        <v>324</v>
      </c>
      <c r="M223" s="82" t="s">
        <v>325</v>
      </c>
      <c r="N223" s="82" t="s">
        <v>326</v>
      </c>
      <c r="O223" s="82" t="s">
        <v>327</v>
      </c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3" t="s">
        <v>670</v>
      </c>
      <c r="AC223" s="83" t="s">
        <v>672</v>
      </c>
    </row>
    <row r="224" spans="1:29" ht="15" customHeight="1">
      <c r="A224" s="81">
        <v>223</v>
      </c>
      <c r="B224" s="81" t="s">
        <v>663</v>
      </c>
      <c r="C224" s="82" t="s">
        <v>694</v>
      </c>
      <c r="D224" s="82" t="s">
        <v>347</v>
      </c>
      <c r="E224" s="82" t="s">
        <v>317</v>
      </c>
      <c r="F224" s="82" t="s">
        <v>318</v>
      </c>
      <c r="G224" s="82" t="s">
        <v>319</v>
      </c>
      <c r="H224" s="82" t="s">
        <v>320</v>
      </c>
      <c r="I224" s="82" t="s">
        <v>321</v>
      </c>
      <c r="J224" s="82" t="s">
        <v>322</v>
      </c>
      <c r="K224" s="82" t="s">
        <v>323</v>
      </c>
      <c r="L224" s="82" t="s">
        <v>324</v>
      </c>
      <c r="M224" s="82" t="s">
        <v>325</v>
      </c>
      <c r="N224" s="82" t="s">
        <v>326</v>
      </c>
      <c r="O224" s="82" t="s">
        <v>327</v>
      </c>
      <c r="P224" s="82" t="s">
        <v>385</v>
      </c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3" t="s">
        <v>670</v>
      </c>
      <c r="AC224" s="83" t="s">
        <v>672</v>
      </c>
    </row>
    <row r="225" spans="1:29" ht="15" customHeight="1">
      <c r="A225" s="81">
        <v>224</v>
      </c>
      <c r="B225" s="81" t="s">
        <v>663</v>
      </c>
      <c r="C225" s="82" t="s">
        <v>695</v>
      </c>
      <c r="D225" s="82" t="s">
        <v>347</v>
      </c>
      <c r="E225" s="82" t="s">
        <v>317</v>
      </c>
      <c r="F225" s="82" t="s">
        <v>318</v>
      </c>
      <c r="G225" s="82" t="s">
        <v>319</v>
      </c>
      <c r="H225" s="82" t="s">
        <v>320</v>
      </c>
      <c r="I225" s="82" t="s">
        <v>321</v>
      </c>
      <c r="J225" s="82" t="s">
        <v>322</v>
      </c>
      <c r="K225" s="82" t="s">
        <v>323</v>
      </c>
      <c r="L225" s="82" t="s">
        <v>324</v>
      </c>
      <c r="M225" s="82" t="s">
        <v>325</v>
      </c>
      <c r="N225" s="82" t="s">
        <v>326</v>
      </c>
      <c r="O225" s="82" t="s">
        <v>327</v>
      </c>
      <c r="P225" s="82" t="s">
        <v>328</v>
      </c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3" t="s">
        <v>670</v>
      </c>
      <c r="AC225" s="83" t="s">
        <v>672</v>
      </c>
    </row>
    <row r="226" spans="1:29" ht="15" customHeight="1">
      <c r="A226" s="81">
        <v>225</v>
      </c>
      <c r="B226" s="81" t="s">
        <v>663</v>
      </c>
      <c r="C226" s="82" t="s">
        <v>696</v>
      </c>
      <c r="D226" s="82" t="s">
        <v>347</v>
      </c>
      <c r="E226" s="82" t="s">
        <v>317</v>
      </c>
      <c r="F226" s="82" t="s">
        <v>318</v>
      </c>
      <c r="G226" s="82" t="s">
        <v>319</v>
      </c>
      <c r="H226" s="82" t="s">
        <v>320</v>
      </c>
      <c r="I226" s="82" t="s">
        <v>321</v>
      </c>
      <c r="J226" s="82" t="s">
        <v>322</v>
      </c>
      <c r="K226" s="82" t="s">
        <v>323</v>
      </c>
      <c r="L226" s="82" t="s">
        <v>324</v>
      </c>
      <c r="M226" s="82" t="s">
        <v>325</v>
      </c>
      <c r="N226" s="82" t="s">
        <v>326</v>
      </c>
      <c r="O226" s="82" t="s">
        <v>327</v>
      </c>
      <c r="P226" s="82" t="s">
        <v>328</v>
      </c>
      <c r="Q226" s="82" t="s">
        <v>385</v>
      </c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3" t="s">
        <v>670</v>
      </c>
      <c r="AC226" s="83" t="s">
        <v>672</v>
      </c>
    </row>
    <row r="227" spans="1:29" ht="15" customHeight="1">
      <c r="A227" s="81">
        <v>226</v>
      </c>
      <c r="B227" s="81" t="s">
        <v>663</v>
      </c>
      <c r="C227" s="82" t="s">
        <v>697</v>
      </c>
      <c r="D227" s="82" t="s">
        <v>347</v>
      </c>
      <c r="E227" s="82" t="s">
        <v>317</v>
      </c>
      <c r="F227" s="82" t="s">
        <v>318</v>
      </c>
      <c r="G227" s="82" t="s">
        <v>319</v>
      </c>
      <c r="H227" s="82" t="s">
        <v>320</v>
      </c>
      <c r="I227" s="82" t="s">
        <v>321</v>
      </c>
      <c r="J227" s="82" t="s">
        <v>322</v>
      </c>
      <c r="K227" s="82" t="s">
        <v>323</v>
      </c>
      <c r="L227" s="82" t="s">
        <v>324</v>
      </c>
      <c r="M227" s="82" t="s">
        <v>325</v>
      </c>
      <c r="N227" s="82" t="s">
        <v>326</v>
      </c>
      <c r="O227" s="82" t="s">
        <v>327</v>
      </c>
      <c r="P227" s="82" t="s">
        <v>328</v>
      </c>
      <c r="Q227" s="82" t="s">
        <v>329</v>
      </c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3" t="s">
        <v>670</v>
      </c>
      <c r="AC227" s="83" t="s">
        <v>672</v>
      </c>
    </row>
    <row r="228" spans="1:29" ht="15" customHeight="1">
      <c r="A228" s="81">
        <v>227</v>
      </c>
      <c r="B228" s="81" t="s">
        <v>663</v>
      </c>
      <c r="C228" s="82" t="s">
        <v>698</v>
      </c>
      <c r="D228" s="82" t="s">
        <v>347</v>
      </c>
      <c r="E228" s="82" t="s">
        <v>317</v>
      </c>
      <c r="F228" s="82" t="s">
        <v>318</v>
      </c>
      <c r="G228" s="82" t="s">
        <v>319</v>
      </c>
      <c r="H228" s="82" t="s">
        <v>320</v>
      </c>
      <c r="I228" s="82" t="s">
        <v>321</v>
      </c>
      <c r="J228" s="82" t="s">
        <v>322</v>
      </c>
      <c r="K228" s="82" t="s">
        <v>323</v>
      </c>
      <c r="L228" s="82" t="s">
        <v>324</v>
      </c>
      <c r="M228" s="82" t="s">
        <v>325</v>
      </c>
      <c r="N228" s="82" t="s">
        <v>326</v>
      </c>
      <c r="O228" s="82" t="s">
        <v>327</v>
      </c>
      <c r="P228" s="82" t="s">
        <v>328</v>
      </c>
      <c r="Q228" s="82" t="s">
        <v>329</v>
      </c>
      <c r="R228" s="82" t="s">
        <v>385</v>
      </c>
      <c r="S228" s="82"/>
      <c r="T228" s="82"/>
      <c r="U228" s="82"/>
      <c r="V228" s="82"/>
      <c r="W228" s="82"/>
      <c r="X228" s="82"/>
      <c r="Y228" s="82"/>
      <c r="Z228" s="82"/>
      <c r="AA228" s="82"/>
      <c r="AB228" s="83" t="s">
        <v>670</v>
      </c>
      <c r="AC228" s="83" t="s">
        <v>672</v>
      </c>
    </row>
    <row r="229" spans="1:29" ht="15" customHeight="1">
      <c r="A229" s="81">
        <v>228</v>
      </c>
      <c r="B229" s="81" t="s">
        <v>663</v>
      </c>
      <c r="C229" s="82" t="s">
        <v>699</v>
      </c>
      <c r="D229" s="82" t="s">
        <v>347</v>
      </c>
      <c r="E229" s="82" t="s">
        <v>317</v>
      </c>
      <c r="F229" s="82" t="s">
        <v>318</v>
      </c>
      <c r="G229" s="82" t="s">
        <v>319</v>
      </c>
      <c r="H229" s="82" t="s">
        <v>320</v>
      </c>
      <c r="I229" s="82" t="s">
        <v>321</v>
      </c>
      <c r="J229" s="82" t="s">
        <v>322</v>
      </c>
      <c r="K229" s="82" t="s">
        <v>323</v>
      </c>
      <c r="L229" s="82" t="s">
        <v>324</v>
      </c>
      <c r="M229" s="82" t="s">
        <v>325</v>
      </c>
      <c r="N229" s="82" t="s">
        <v>326</v>
      </c>
      <c r="O229" s="82" t="s">
        <v>327</v>
      </c>
      <c r="P229" s="82" t="s">
        <v>328</v>
      </c>
      <c r="Q229" s="82" t="s">
        <v>329</v>
      </c>
      <c r="R229" s="82" t="s">
        <v>330</v>
      </c>
      <c r="S229" s="82"/>
      <c r="T229" s="82"/>
      <c r="U229" s="82"/>
      <c r="V229" s="82"/>
      <c r="W229" s="82"/>
      <c r="X229" s="82"/>
      <c r="Y229" s="82"/>
      <c r="Z229" s="82"/>
      <c r="AA229" s="82"/>
      <c r="AB229" s="83" t="s">
        <v>670</v>
      </c>
      <c r="AC229" s="83" t="s">
        <v>672</v>
      </c>
    </row>
    <row r="230" spans="1:29" ht="15" customHeight="1">
      <c r="A230" s="81">
        <v>229</v>
      </c>
      <c r="B230" s="81" t="s">
        <v>663</v>
      </c>
      <c r="C230" s="82" t="s">
        <v>700</v>
      </c>
      <c r="D230" s="82" t="s">
        <v>347</v>
      </c>
      <c r="E230" s="82" t="s">
        <v>317</v>
      </c>
      <c r="F230" s="82" t="s">
        <v>318</v>
      </c>
      <c r="G230" s="82" t="s">
        <v>319</v>
      </c>
      <c r="H230" s="82" t="s">
        <v>320</v>
      </c>
      <c r="I230" s="82" t="s">
        <v>321</v>
      </c>
      <c r="J230" s="82" t="s">
        <v>322</v>
      </c>
      <c r="K230" s="82" t="s">
        <v>323</v>
      </c>
      <c r="L230" s="82" t="s">
        <v>324</v>
      </c>
      <c r="M230" s="82" t="s">
        <v>325</v>
      </c>
      <c r="N230" s="82" t="s">
        <v>326</v>
      </c>
      <c r="O230" s="82" t="s">
        <v>327</v>
      </c>
      <c r="P230" s="82" t="s">
        <v>328</v>
      </c>
      <c r="Q230" s="82" t="s">
        <v>329</v>
      </c>
      <c r="R230" s="82" t="s">
        <v>330</v>
      </c>
      <c r="S230" s="82" t="s">
        <v>385</v>
      </c>
      <c r="T230" s="82"/>
      <c r="U230" s="82"/>
      <c r="V230" s="82"/>
      <c r="W230" s="82"/>
      <c r="X230" s="82"/>
      <c r="Y230" s="82"/>
      <c r="Z230" s="82"/>
      <c r="AA230" s="82"/>
      <c r="AB230" s="83" t="s">
        <v>670</v>
      </c>
      <c r="AC230" s="83" t="s">
        <v>672</v>
      </c>
    </row>
    <row r="231" spans="1:29" ht="15" customHeight="1">
      <c r="A231" s="81">
        <v>230</v>
      </c>
      <c r="B231" s="81" t="s">
        <v>663</v>
      </c>
      <c r="C231" s="82" t="s">
        <v>701</v>
      </c>
      <c r="D231" s="82" t="s">
        <v>347</v>
      </c>
      <c r="E231" s="82" t="s">
        <v>317</v>
      </c>
      <c r="F231" s="82" t="s">
        <v>318</v>
      </c>
      <c r="G231" s="82" t="s">
        <v>319</v>
      </c>
      <c r="H231" s="82" t="s">
        <v>320</v>
      </c>
      <c r="I231" s="82" t="s">
        <v>321</v>
      </c>
      <c r="J231" s="82" t="s">
        <v>322</v>
      </c>
      <c r="K231" s="82" t="s">
        <v>323</v>
      </c>
      <c r="L231" s="82" t="s">
        <v>324</v>
      </c>
      <c r="M231" s="82" t="s">
        <v>325</v>
      </c>
      <c r="N231" s="82" t="s">
        <v>326</v>
      </c>
      <c r="O231" s="82" t="s">
        <v>327</v>
      </c>
      <c r="P231" s="82" t="s">
        <v>328</v>
      </c>
      <c r="Q231" s="82" t="s">
        <v>329</v>
      </c>
      <c r="R231" s="82" t="s">
        <v>330</v>
      </c>
      <c r="S231" s="82" t="s">
        <v>331</v>
      </c>
      <c r="T231" s="82"/>
      <c r="U231" s="82"/>
      <c r="V231" s="82"/>
      <c r="W231" s="82"/>
      <c r="X231" s="82"/>
      <c r="Y231" s="82"/>
      <c r="Z231" s="82"/>
      <c r="AA231" s="82"/>
      <c r="AB231" s="83" t="s">
        <v>670</v>
      </c>
      <c r="AC231" s="83" t="s">
        <v>672</v>
      </c>
    </row>
    <row r="232" spans="1:29" ht="15" customHeight="1">
      <c r="A232" s="81">
        <v>231</v>
      </c>
      <c r="B232" s="81" t="s">
        <v>663</v>
      </c>
      <c r="C232" s="82" t="s">
        <v>702</v>
      </c>
      <c r="D232" s="82" t="s">
        <v>347</v>
      </c>
      <c r="E232" s="82" t="s">
        <v>317</v>
      </c>
      <c r="F232" s="82" t="s">
        <v>318</v>
      </c>
      <c r="G232" s="82" t="s">
        <v>319</v>
      </c>
      <c r="H232" s="82" t="s">
        <v>320</v>
      </c>
      <c r="I232" s="82" t="s">
        <v>321</v>
      </c>
      <c r="J232" s="82" t="s">
        <v>322</v>
      </c>
      <c r="K232" s="82" t="s">
        <v>323</v>
      </c>
      <c r="L232" s="82" t="s">
        <v>324</v>
      </c>
      <c r="M232" s="82" t="s">
        <v>325</v>
      </c>
      <c r="N232" s="82" t="s">
        <v>326</v>
      </c>
      <c r="O232" s="82" t="s">
        <v>327</v>
      </c>
      <c r="P232" s="82" t="s">
        <v>328</v>
      </c>
      <c r="Q232" s="82" t="s">
        <v>329</v>
      </c>
      <c r="R232" s="82" t="s">
        <v>330</v>
      </c>
      <c r="S232" s="82" t="s">
        <v>331</v>
      </c>
      <c r="T232" s="82" t="s">
        <v>385</v>
      </c>
      <c r="U232" s="82"/>
      <c r="V232" s="82"/>
      <c r="W232" s="82"/>
      <c r="X232" s="82"/>
      <c r="Y232" s="82"/>
      <c r="Z232" s="82"/>
      <c r="AA232" s="82"/>
      <c r="AB232" s="83" t="s">
        <v>670</v>
      </c>
      <c r="AC232" s="83" t="s">
        <v>672</v>
      </c>
    </row>
    <row r="233" spans="1:29" ht="15" customHeight="1">
      <c r="A233" s="81">
        <v>232</v>
      </c>
      <c r="B233" s="81" t="s">
        <v>663</v>
      </c>
      <c r="C233" s="82" t="s">
        <v>703</v>
      </c>
      <c r="D233" s="82" t="s">
        <v>347</v>
      </c>
      <c r="E233" s="82" t="s">
        <v>317</v>
      </c>
      <c r="F233" s="82" t="s">
        <v>318</v>
      </c>
      <c r="G233" s="82" t="s">
        <v>319</v>
      </c>
      <c r="H233" s="82" t="s">
        <v>320</v>
      </c>
      <c r="I233" s="82" t="s">
        <v>321</v>
      </c>
      <c r="J233" s="82" t="s">
        <v>322</v>
      </c>
      <c r="K233" s="82" t="s">
        <v>323</v>
      </c>
      <c r="L233" s="82" t="s">
        <v>324</v>
      </c>
      <c r="M233" s="82" t="s">
        <v>325</v>
      </c>
      <c r="N233" s="82" t="s">
        <v>326</v>
      </c>
      <c r="O233" s="82" t="s">
        <v>327</v>
      </c>
      <c r="P233" s="82" t="s">
        <v>328</v>
      </c>
      <c r="Q233" s="82" t="s">
        <v>329</v>
      </c>
      <c r="R233" s="82" t="s">
        <v>330</v>
      </c>
      <c r="S233" s="82" t="s">
        <v>331</v>
      </c>
      <c r="T233" s="82" t="s">
        <v>332</v>
      </c>
      <c r="U233" s="82"/>
      <c r="V233" s="82"/>
      <c r="W233" s="82"/>
      <c r="X233" s="82"/>
      <c r="Y233" s="82"/>
      <c r="Z233" s="82"/>
      <c r="AA233" s="82"/>
      <c r="AB233" s="83" t="s">
        <v>670</v>
      </c>
      <c r="AC233" s="83" t="s">
        <v>672</v>
      </c>
    </row>
    <row r="234" spans="1:29" ht="15" customHeight="1">
      <c r="A234" s="81">
        <v>233</v>
      </c>
      <c r="B234" s="81" t="s">
        <v>663</v>
      </c>
      <c r="C234" s="82" t="s">
        <v>704</v>
      </c>
      <c r="D234" s="82" t="s">
        <v>347</v>
      </c>
      <c r="E234" s="82" t="s">
        <v>317</v>
      </c>
      <c r="F234" s="82" t="s">
        <v>318</v>
      </c>
      <c r="G234" s="82" t="s">
        <v>319</v>
      </c>
      <c r="H234" s="82" t="s">
        <v>320</v>
      </c>
      <c r="I234" s="82" t="s">
        <v>321</v>
      </c>
      <c r="J234" s="82" t="s">
        <v>322</v>
      </c>
      <c r="K234" s="82" t="s">
        <v>323</v>
      </c>
      <c r="L234" s="82" t="s">
        <v>324</v>
      </c>
      <c r="M234" s="82" t="s">
        <v>325</v>
      </c>
      <c r="N234" s="82" t="s">
        <v>326</v>
      </c>
      <c r="O234" s="82" t="s">
        <v>327</v>
      </c>
      <c r="P234" s="82" t="s">
        <v>328</v>
      </c>
      <c r="Q234" s="82" t="s">
        <v>329</v>
      </c>
      <c r="R234" s="82" t="s">
        <v>330</v>
      </c>
      <c r="S234" s="82" t="s">
        <v>331</v>
      </c>
      <c r="T234" s="82" t="s">
        <v>332</v>
      </c>
      <c r="U234" s="82" t="s">
        <v>385</v>
      </c>
      <c r="V234" s="82"/>
      <c r="W234" s="82"/>
      <c r="X234" s="82"/>
      <c r="Y234" s="82"/>
      <c r="Z234" s="82"/>
      <c r="AA234" s="82"/>
      <c r="AB234" s="83" t="s">
        <v>670</v>
      </c>
      <c r="AC234" s="83" t="s">
        <v>672</v>
      </c>
    </row>
    <row r="235" spans="1:29" ht="15" customHeight="1">
      <c r="A235" s="81">
        <v>234</v>
      </c>
      <c r="B235" s="81" t="s">
        <v>663</v>
      </c>
      <c r="C235" s="82" t="s">
        <v>705</v>
      </c>
      <c r="D235" s="82" t="s">
        <v>347</v>
      </c>
      <c r="E235" s="82" t="s">
        <v>317</v>
      </c>
      <c r="F235" s="82" t="s">
        <v>318</v>
      </c>
      <c r="G235" s="82" t="s">
        <v>319</v>
      </c>
      <c r="H235" s="82" t="s">
        <v>320</v>
      </c>
      <c r="I235" s="82" t="s">
        <v>321</v>
      </c>
      <c r="J235" s="82" t="s">
        <v>322</v>
      </c>
      <c r="K235" s="82" t="s">
        <v>323</v>
      </c>
      <c r="L235" s="82" t="s">
        <v>324</v>
      </c>
      <c r="M235" s="82" t="s">
        <v>325</v>
      </c>
      <c r="N235" s="82" t="s">
        <v>326</v>
      </c>
      <c r="O235" s="82" t="s">
        <v>327</v>
      </c>
      <c r="P235" s="82" t="s">
        <v>328</v>
      </c>
      <c r="Q235" s="82" t="s">
        <v>329</v>
      </c>
      <c r="R235" s="82" t="s">
        <v>330</v>
      </c>
      <c r="S235" s="82" t="s">
        <v>331</v>
      </c>
      <c r="T235" s="82" t="s">
        <v>332</v>
      </c>
      <c r="U235" s="82" t="s">
        <v>333</v>
      </c>
      <c r="V235" s="82"/>
      <c r="W235" s="82"/>
      <c r="X235" s="82"/>
      <c r="Y235" s="82"/>
      <c r="Z235" s="82"/>
      <c r="AA235" s="82"/>
      <c r="AB235" s="83" t="s">
        <v>670</v>
      </c>
      <c r="AC235" s="83" t="s">
        <v>672</v>
      </c>
    </row>
    <row r="236" spans="1:29" ht="15" customHeight="1">
      <c r="A236" s="81">
        <v>235</v>
      </c>
      <c r="B236" s="81" t="s">
        <v>663</v>
      </c>
      <c r="C236" s="82" t="s">
        <v>706</v>
      </c>
      <c r="D236" s="82" t="s">
        <v>347</v>
      </c>
      <c r="E236" s="82" t="s">
        <v>317</v>
      </c>
      <c r="F236" s="82" t="s">
        <v>318</v>
      </c>
      <c r="G236" s="82" t="s">
        <v>319</v>
      </c>
      <c r="H236" s="82" t="s">
        <v>320</v>
      </c>
      <c r="I236" s="82" t="s">
        <v>321</v>
      </c>
      <c r="J236" s="82" t="s">
        <v>322</v>
      </c>
      <c r="K236" s="82" t="s">
        <v>323</v>
      </c>
      <c r="L236" s="82" t="s">
        <v>324</v>
      </c>
      <c r="M236" s="82" t="s">
        <v>325</v>
      </c>
      <c r="N236" s="82" t="s">
        <v>326</v>
      </c>
      <c r="O236" s="82" t="s">
        <v>327</v>
      </c>
      <c r="P236" s="82" t="s">
        <v>328</v>
      </c>
      <c r="Q236" s="82" t="s">
        <v>329</v>
      </c>
      <c r="R236" s="82" t="s">
        <v>330</v>
      </c>
      <c r="S236" s="82" t="s">
        <v>331</v>
      </c>
      <c r="T236" s="82" t="s">
        <v>332</v>
      </c>
      <c r="U236" s="82" t="s">
        <v>333</v>
      </c>
      <c r="V236" s="82" t="s">
        <v>385</v>
      </c>
      <c r="W236" s="82"/>
      <c r="X236" s="82"/>
      <c r="Y236" s="82"/>
      <c r="Z236" s="82"/>
      <c r="AA236" s="82"/>
      <c r="AB236" s="83" t="s">
        <v>670</v>
      </c>
      <c r="AC236" s="83" t="s">
        <v>672</v>
      </c>
    </row>
    <row r="237" spans="1:29" ht="15" customHeight="1">
      <c r="A237" s="81">
        <v>236</v>
      </c>
      <c r="B237" s="81" t="s">
        <v>663</v>
      </c>
      <c r="C237" s="82" t="s">
        <v>707</v>
      </c>
      <c r="D237" s="82" t="s">
        <v>347</v>
      </c>
      <c r="E237" s="82" t="s">
        <v>317</v>
      </c>
      <c r="F237" s="82" t="s">
        <v>318</v>
      </c>
      <c r="G237" s="82" t="s">
        <v>319</v>
      </c>
      <c r="H237" s="82" t="s">
        <v>320</v>
      </c>
      <c r="I237" s="82" t="s">
        <v>321</v>
      </c>
      <c r="J237" s="82" t="s">
        <v>322</v>
      </c>
      <c r="K237" s="82" t="s">
        <v>323</v>
      </c>
      <c r="L237" s="82" t="s">
        <v>324</v>
      </c>
      <c r="M237" s="82" t="s">
        <v>325</v>
      </c>
      <c r="N237" s="82" t="s">
        <v>326</v>
      </c>
      <c r="O237" s="82" t="s">
        <v>327</v>
      </c>
      <c r="P237" s="82" t="s">
        <v>328</v>
      </c>
      <c r="Q237" s="82" t="s">
        <v>329</v>
      </c>
      <c r="R237" s="82" t="s">
        <v>330</v>
      </c>
      <c r="S237" s="82" t="s">
        <v>331</v>
      </c>
      <c r="T237" s="82" t="s">
        <v>332</v>
      </c>
      <c r="U237" s="82" t="s">
        <v>333</v>
      </c>
      <c r="V237" s="82" t="s">
        <v>334</v>
      </c>
      <c r="W237" s="82"/>
      <c r="X237" s="82"/>
      <c r="Y237" s="82"/>
      <c r="Z237" s="82"/>
      <c r="AA237" s="82"/>
      <c r="AB237" s="83" t="s">
        <v>670</v>
      </c>
      <c r="AC237" s="83" t="s">
        <v>672</v>
      </c>
    </row>
    <row r="238" spans="1:29" ht="15" customHeight="1">
      <c r="A238" s="81">
        <v>237</v>
      </c>
      <c r="B238" s="81" t="s">
        <v>663</v>
      </c>
      <c r="C238" s="82" t="s">
        <v>708</v>
      </c>
      <c r="D238" s="82" t="s">
        <v>347</v>
      </c>
      <c r="E238" s="82" t="s">
        <v>317</v>
      </c>
      <c r="F238" s="82" t="s">
        <v>318</v>
      </c>
      <c r="G238" s="82" t="s">
        <v>319</v>
      </c>
      <c r="H238" s="82" t="s">
        <v>320</v>
      </c>
      <c r="I238" s="82" t="s">
        <v>321</v>
      </c>
      <c r="J238" s="82" t="s">
        <v>322</v>
      </c>
      <c r="K238" s="82" t="s">
        <v>323</v>
      </c>
      <c r="L238" s="82" t="s">
        <v>324</v>
      </c>
      <c r="M238" s="82" t="s">
        <v>325</v>
      </c>
      <c r="N238" s="82" t="s">
        <v>326</v>
      </c>
      <c r="O238" s="82" t="s">
        <v>327</v>
      </c>
      <c r="P238" s="82" t="s">
        <v>328</v>
      </c>
      <c r="Q238" s="82" t="s">
        <v>329</v>
      </c>
      <c r="R238" s="82" t="s">
        <v>330</v>
      </c>
      <c r="S238" s="82" t="s">
        <v>331</v>
      </c>
      <c r="T238" s="82" t="s">
        <v>332</v>
      </c>
      <c r="U238" s="82" t="s">
        <v>333</v>
      </c>
      <c r="V238" s="82" t="s">
        <v>334</v>
      </c>
      <c r="W238" s="82" t="s">
        <v>385</v>
      </c>
      <c r="X238" s="82"/>
      <c r="Y238" s="82"/>
      <c r="Z238" s="82"/>
      <c r="AA238" s="82"/>
      <c r="AB238" s="83" t="s">
        <v>670</v>
      </c>
      <c r="AC238" s="83" t="s">
        <v>672</v>
      </c>
    </row>
    <row r="239" spans="1:29" ht="15" customHeight="1">
      <c r="A239" s="81">
        <v>238</v>
      </c>
      <c r="B239" s="81" t="s">
        <v>663</v>
      </c>
      <c r="C239" s="82" t="s">
        <v>709</v>
      </c>
      <c r="D239" s="82" t="s">
        <v>347</v>
      </c>
      <c r="E239" s="82" t="s">
        <v>317</v>
      </c>
      <c r="F239" s="82" t="s">
        <v>318</v>
      </c>
      <c r="G239" s="82" t="s">
        <v>319</v>
      </c>
      <c r="H239" s="82" t="s">
        <v>320</v>
      </c>
      <c r="I239" s="82" t="s">
        <v>321</v>
      </c>
      <c r="J239" s="82" t="s">
        <v>322</v>
      </c>
      <c r="K239" s="82" t="s">
        <v>323</v>
      </c>
      <c r="L239" s="82" t="s">
        <v>324</v>
      </c>
      <c r="M239" s="82" t="s">
        <v>325</v>
      </c>
      <c r="N239" s="82" t="s">
        <v>326</v>
      </c>
      <c r="O239" s="82" t="s">
        <v>327</v>
      </c>
      <c r="P239" s="82" t="s">
        <v>328</v>
      </c>
      <c r="Q239" s="82" t="s">
        <v>329</v>
      </c>
      <c r="R239" s="82" t="s">
        <v>330</v>
      </c>
      <c r="S239" s="82" t="s">
        <v>331</v>
      </c>
      <c r="T239" s="82" t="s">
        <v>332</v>
      </c>
      <c r="U239" s="82" t="s">
        <v>333</v>
      </c>
      <c r="V239" s="82" t="s">
        <v>334</v>
      </c>
      <c r="W239" s="82" t="s">
        <v>335</v>
      </c>
      <c r="X239" s="82"/>
      <c r="Y239" s="82"/>
      <c r="Z239" s="82"/>
      <c r="AA239" s="82"/>
      <c r="AB239" s="83" t="s">
        <v>670</v>
      </c>
      <c r="AC239" s="83" t="s">
        <v>672</v>
      </c>
    </row>
    <row r="240" spans="1:29" ht="15" customHeight="1">
      <c r="A240" s="81">
        <v>239</v>
      </c>
      <c r="B240" s="81" t="s">
        <v>663</v>
      </c>
      <c r="C240" s="82" t="s">
        <v>710</v>
      </c>
      <c r="D240" s="82" t="s">
        <v>347</v>
      </c>
      <c r="E240" s="82" t="s">
        <v>317</v>
      </c>
      <c r="F240" s="82" t="s">
        <v>318</v>
      </c>
      <c r="G240" s="82" t="s">
        <v>319</v>
      </c>
      <c r="H240" s="82" t="s">
        <v>320</v>
      </c>
      <c r="I240" s="82" t="s">
        <v>321</v>
      </c>
      <c r="J240" s="82" t="s">
        <v>322</v>
      </c>
      <c r="K240" s="82" t="s">
        <v>323</v>
      </c>
      <c r="L240" s="82" t="s">
        <v>324</v>
      </c>
      <c r="M240" s="82" t="s">
        <v>325</v>
      </c>
      <c r="N240" s="82" t="s">
        <v>326</v>
      </c>
      <c r="O240" s="82" t="s">
        <v>327</v>
      </c>
      <c r="P240" s="82" t="s">
        <v>328</v>
      </c>
      <c r="Q240" s="82" t="s">
        <v>329</v>
      </c>
      <c r="R240" s="82" t="s">
        <v>330</v>
      </c>
      <c r="S240" s="82" t="s">
        <v>331</v>
      </c>
      <c r="T240" s="82" t="s">
        <v>332</v>
      </c>
      <c r="U240" s="82" t="s">
        <v>333</v>
      </c>
      <c r="V240" s="82" t="s">
        <v>334</v>
      </c>
      <c r="W240" s="82" t="s">
        <v>335</v>
      </c>
      <c r="X240" s="82" t="s">
        <v>385</v>
      </c>
      <c r="Y240" s="82"/>
      <c r="Z240" s="82"/>
      <c r="AA240" s="82"/>
      <c r="AB240" s="83" t="s">
        <v>670</v>
      </c>
      <c r="AC240" s="83" t="s">
        <v>672</v>
      </c>
    </row>
    <row r="241" spans="1:29" ht="15" customHeight="1">
      <c r="A241" s="81">
        <v>240</v>
      </c>
      <c r="B241" s="81" t="s">
        <v>663</v>
      </c>
      <c r="C241" s="82" t="s">
        <v>711</v>
      </c>
      <c r="D241" s="82" t="s">
        <v>347</v>
      </c>
      <c r="E241" s="82" t="s">
        <v>317</v>
      </c>
      <c r="F241" s="82" t="s">
        <v>318</v>
      </c>
      <c r="G241" s="82" t="s">
        <v>319</v>
      </c>
      <c r="H241" s="82" t="s">
        <v>320</v>
      </c>
      <c r="I241" s="82" t="s">
        <v>321</v>
      </c>
      <c r="J241" s="82" t="s">
        <v>322</v>
      </c>
      <c r="K241" s="82" t="s">
        <v>323</v>
      </c>
      <c r="L241" s="82" t="s">
        <v>324</v>
      </c>
      <c r="M241" s="82" t="s">
        <v>325</v>
      </c>
      <c r="N241" s="82" t="s">
        <v>326</v>
      </c>
      <c r="O241" s="82" t="s">
        <v>327</v>
      </c>
      <c r="P241" s="82" t="s">
        <v>328</v>
      </c>
      <c r="Q241" s="82" t="s">
        <v>329</v>
      </c>
      <c r="R241" s="82" t="s">
        <v>330</v>
      </c>
      <c r="S241" s="82" t="s">
        <v>331</v>
      </c>
      <c r="T241" s="82" t="s">
        <v>332</v>
      </c>
      <c r="U241" s="82" t="s">
        <v>333</v>
      </c>
      <c r="V241" s="82" t="s">
        <v>334</v>
      </c>
      <c r="W241" s="82" t="s">
        <v>335</v>
      </c>
      <c r="X241" s="82" t="s">
        <v>336</v>
      </c>
      <c r="Y241" s="82"/>
      <c r="Z241" s="82"/>
      <c r="AA241" s="82"/>
      <c r="AB241" s="83" t="s">
        <v>670</v>
      </c>
      <c r="AC241" s="83" t="s">
        <v>672</v>
      </c>
    </row>
    <row r="242" spans="1:29" ht="15" customHeight="1">
      <c r="A242" s="81">
        <v>241</v>
      </c>
      <c r="B242" s="81" t="s">
        <v>663</v>
      </c>
      <c r="C242" s="82" t="s">
        <v>712</v>
      </c>
      <c r="D242" s="82" t="s">
        <v>347</v>
      </c>
      <c r="E242" s="82" t="s">
        <v>317</v>
      </c>
      <c r="F242" s="82" t="s">
        <v>318</v>
      </c>
      <c r="G242" s="82" t="s">
        <v>319</v>
      </c>
      <c r="H242" s="82" t="s">
        <v>320</v>
      </c>
      <c r="I242" s="82" t="s">
        <v>321</v>
      </c>
      <c r="J242" s="82" t="s">
        <v>322</v>
      </c>
      <c r="K242" s="82" t="s">
        <v>323</v>
      </c>
      <c r="L242" s="82" t="s">
        <v>324</v>
      </c>
      <c r="M242" s="82" t="s">
        <v>325</v>
      </c>
      <c r="N242" s="82" t="s">
        <v>326</v>
      </c>
      <c r="O242" s="82" t="s">
        <v>327</v>
      </c>
      <c r="P242" s="82" t="s">
        <v>328</v>
      </c>
      <c r="Q242" s="82" t="s">
        <v>329</v>
      </c>
      <c r="R242" s="82" t="s">
        <v>330</v>
      </c>
      <c r="S242" s="82" t="s">
        <v>331</v>
      </c>
      <c r="T242" s="82" t="s">
        <v>332</v>
      </c>
      <c r="U242" s="82" t="s">
        <v>333</v>
      </c>
      <c r="V242" s="82" t="s">
        <v>334</v>
      </c>
      <c r="W242" s="82" t="s">
        <v>335</v>
      </c>
      <c r="X242" s="82" t="s">
        <v>336</v>
      </c>
      <c r="Y242" s="82" t="s">
        <v>385</v>
      </c>
      <c r="Z242" s="82"/>
      <c r="AA242" s="82"/>
      <c r="AB242" s="83" t="s">
        <v>670</v>
      </c>
      <c r="AC242" s="83" t="s">
        <v>672</v>
      </c>
    </row>
    <row r="243" spans="1:29" ht="15" customHeight="1">
      <c r="A243" s="81">
        <v>242</v>
      </c>
      <c r="B243" s="81" t="s">
        <v>663</v>
      </c>
      <c r="C243" s="82" t="s">
        <v>713</v>
      </c>
      <c r="D243" s="82" t="s">
        <v>347</v>
      </c>
      <c r="E243" s="82" t="s">
        <v>317</v>
      </c>
      <c r="F243" s="82" t="s">
        <v>318</v>
      </c>
      <c r="G243" s="82" t="s">
        <v>319</v>
      </c>
      <c r="H243" s="82" t="s">
        <v>320</v>
      </c>
      <c r="I243" s="82" t="s">
        <v>321</v>
      </c>
      <c r="J243" s="82" t="s">
        <v>322</v>
      </c>
      <c r="K243" s="82" t="s">
        <v>323</v>
      </c>
      <c r="L243" s="82" t="s">
        <v>324</v>
      </c>
      <c r="M243" s="82" t="s">
        <v>325</v>
      </c>
      <c r="N243" s="82" t="s">
        <v>326</v>
      </c>
      <c r="O243" s="82" t="s">
        <v>327</v>
      </c>
      <c r="P243" s="82" t="s">
        <v>328</v>
      </c>
      <c r="Q243" s="82" t="s">
        <v>329</v>
      </c>
      <c r="R243" s="82" t="s">
        <v>330</v>
      </c>
      <c r="S243" s="82" t="s">
        <v>331</v>
      </c>
      <c r="T243" s="82" t="s">
        <v>332</v>
      </c>
      <c r="U243" s="82" t="s">
        <v>333</v>
      </c>
      <c r="V243" s="82" t="s">
        <v>334</v>
      </c>
      <c r="W243" s="82" t="s">
        <v>335</v>
      </c>
      <c r="X243" s="82" t="s">
        <v>336</v>
      </c>
      <c r="Y243" s="82" t="s">
        <v>337</v>
      </c>
      <c r="Z243" s="82"/>
      <c r="AA243" s="82"/>
      <c r="AB243" s="83" t="s">
        <v>670</v>
      </c>
      <c r="AC243" s="83" t="s">
        <v>672</v>
      </c>
    </row>
    <row r="244" spans="1:29" ht="15" customHeight="1">
      <c r="A244" s="81">
        <v>243</v>
      </c>
      <c r="B244" s="81" t="s">
        <v>663</v>
      </c>
      <c r="C244" s="82" t="s">
        <v>714</v>
      </c>
      <c r="D244" s="82" t="s">
        <v>347</v>
      </c>
      <c r="E244" s="82" t="s">
        <v>317</v>
      </c>
      <c r="F244" s="82" t="s">
        <v>318</v>
      </c>
      <c r="G244" s="82" t="s">
        <v>319</v>
      </c>
      <c r="H244" s="82" t="s">
        <v>320</v>
      </c>
      <c r="I244" s="82" t="s">
        <v>321</v>
      </c>
      <c r="J244" s="82" t="s">
        <v>322</v>
      </c>
      <c r="K244" s="82" t="s">
        <v>323</v>
      </c>
      <c r="L244" s="82" t="s">
        <v>324</v>
      </c>
      <c r="M244" s="82" t="s">
        <v>325</v>
      </c>
      <c r="N244" s="82" t="s">
        <v>326</v>
      </c>
      <c r="O244" s="82" t="s">
        <v>327</v>
      </c>
      <c r="P244" s="82" t="s">
        <v>328</v>
      </c>
      <c r="Q244" s="82" t="s">
        <v>329</v>
      </c>
      <c r="R244" s="82" t="s">
        <v>330</v>
      </c>
      <c r="S244" s="82" t="s">
        <v>331</v>
      </c>
      <c r="T244" s="82" t="s">
        <v>332</v>
      </c>
      <c r="U244" s="82" t="s">
        <v>333</v>
      </c>
      <c r="V244" s="82" t="s">
        <v>334</v>
      </c>
      <c r="W244" s="82" t="s">
        <v>335</v>
      </c>
      <c r="X244" s="82" t="s">
        <v>336</v>
      </c>
      <c r="Y244" s="82" t="s">
        <v>337</v>
      </c>
      <c r="Z244" s="82" t="s">
        <v>385</v>
      </c>
      <c r="AA244" s="82"/>
      <c r="AB244" s="83" t="s">
        <v>670</v>
      </c>
      <c r="AC244" s="83" t="s">
        <v>672</v>
      </c>
    </row>
    <row r="245" spans="1:29" ht="15" customHeight="1">
      <c r="A245" s="81">
        <v>244</v>
      </c>
      <c r="B245" s="81" t="s">
        <v>663</v>
      </c>
      <c r="C245" s="82" t="s">
        <v>715</v>
      </c>
      <c r="D245" s="82" t="s">
        <v>347</v>
      </c>
      <c r="E245" s="82" t="s">
        <v>317</v>
      </c>
      <c r="F245" s="82" t="s">
        <v>318</v>
      </c>
      <c r="G245" s="82" t="s">
        <v>319</v>
      </c>
      <c r="H245" s="82" t="s">
        <v>320</v>
      </c>
      <c r="I245" s="82" t="s">
        <v>321</v>
      </c>
      <c r="J245" s="82" t="s">
        <v>322</v>
      </c>
      <c r="K245" s="82" t="s">
        <v>323</v>
      </c>
      <c r="L245" s="82" t="s">
        <v>324</v>
      </c>
      <c r="M245" s="82" t="s">
        <v>325</v>
      </c>
      <c r="N245" s="82" t="s">
        <v>326</v>
      </c>
      <c r="O245" s="82" t="s">
        <v>327</v>
      </c>
      <c r="P245" s="82" t="s">
        <v>328</v>
      </c>
      <c r="Q245" s="82" t="s">
        <v>329</v>
      </c>
      <c r="R245" s="82" t="s">
        <v>330</v>
      </c>
      <c r="S245" s="82" t="s">
        <v>331</v>
      </c>
      <c r="T245" s="82" t="s">
        <v>332</v>
      </c>
      <c r="U245" s="82" t="s">
        <v>333</v>
      </c>
      <c r="V245" s="82" t="s">
        <v>334</v>
      </c>
      <c r="W245" s="82" t="s">
        <v>335</v>
      </c>
      <c r="X245" s="82" t="s">
        <v>336</v>
      </c>
      <c r="Y245" s="82" t="s">
        <v>337</v>
      </c>
      <c r="Z245" s="82" t="s">
        <v>338</v>
      </c>
      <c r="AA245" s="82"/>
      <c r="AB245" s="83" t="s">
        <v>670</v>
      </c>
      <c r="AC245" s="83" t="s">
        <v>672</v>
      </c>
    </row>
    <row r="246" spans="1:29" ht="15" customHeight="1">
      <c r="A246" s="81">
        <v>245</v>
      </c>
      <c r="B246" s="81" t="s">
        <v>663</v>
      </c>
      <c r="C246" s="82" t="s">
        <v>716</v>
      </c>
      <c r="D246" s="82" t="s">
        <v>347</v>
      </c>
      <c r="E246" s="82" t="s">
        <v>317</v>
      </c>
      <c r="F246" s="82" t="s">
        <v>318</v>
      </c>
      <c r="G246" s="82" t="s">
        <v>319</v>
      </c>
      <c r="H246" s="82" t="s">
        <v>320</v>
      </c>
      <c r="I246" s="82" t="s">
        <v>321</v>
      </c>
      <c r="J246" s="82" t="s">
        <v>322</v>
      </c>
      <c r="K246" s="82" t="s">
        <v>323</v>
      </c>
      <c r="L246" s="82" t="s">
        <v>324</v>
      </c>
      <c r="M246" s="82" t="s">
        <v>325</v>
      </c>
      <c r="N246" s="82" t="s">
        <v>326</v>
      </c>
      <c r="O246" s="82" t="s">
        <v>327</v>
      </c>
      <c r="P246" s="82" t="s">
        <v>328</v>
      </c>
      <c r="Q246" s="82" t="s">
        <v>329</v>
      </c>
      <c r="R246" s="82" t="s">
        <v>330</v>
      </c>
      <c r="S246" s="82" t="s">
        <v>331</v>
      </c>
      <c r="T246" s="82" t="s">
        <v>332</v>
      </c>
      <c r="U246" s="82" t="s">
        <v>333</v>
      </c>
      <c r="V246" s="82" t="s">
        <v>334</v>
      </c>
      <c r="W246" s="82" t="s">
        <v>335</v>
      </c>
      <c r="X246" s="82" t="s">
        <v>336</v>
      </c>
      <c r="Y246" s="82" t="s">
        <v>337</v>
      </c>
      <c r="Z246" s="82" t="s">
        <v>338</v>
      </c>
      <c r="AA246" s="82" t="s">
        <v>385</v>
      </c>
      <c r="AB246" s="83" t="s">
        <v>670</v>
      </c>
      <c r="AC246" s="83" t="s">
        <v>672</v>
      </c>
    </row>
    <row r="247" spans="1:29" ht="15" customHeight="1">
      <c r="A247" s="81">
        <v>246</v>
      </c>
      <c r="B247" s="81" t="s">
        <v>663</v>
      </c>
      <c r="C247" s="82" t="s">
        <v>717</v>
      </c>
      <c r="D247" s="82" t="s">
        <v>347</v>
      </c>
      <c r="E247" s="82" t="s">
        <v>317</v>
      </c>
      <c r="F247" s="82" t="s">
        <v>318</v>
      </c>
      <c r="G247" s="82" t="s">
        <v>319</v>
      </c>
      <c r="H247" s="82" t="s">
        <v>320</v>
      </c>
      <c r="I247" s="82" t="s">
        <v>321</v>
      </c>
      <c r="J247" s="82" t="s">
        <v>322</v>
      </c>
      <c r="K247" s="82" t="s">
        <v>323</v>
      </c>
      <c r="L247" s="82" t="s">
        <v>324</v>
      </c>
      <c r="M247" s="82" t="s">
        <v>325</v>
      </c>
      <c r="N247" s="82" t="s">
        <v>326</v>
      </c>
      <c r="O247" s="82" t="s">
        <v>327</v>
      </c>
      <c r="P247" s="82" t="s">
        <v>328</v>
      </c>
      <c r="Q247" s="82" t="s">
        <v>329</v>
      </c>
      <c r="R247" s="82" t="s">
        <v>330</v>
      </c>
      <c r="S247" s="82" t="s">
        <v>331</v>
      </c>
      <c r="T247" s="82" t="s">
        <v>332</v>
      </c>
      <c r="U247" s="82" t="s">
        <v>333</v>
      </c>
      <c r="V247" s="82" t="s">
        <v>334</v>
      </c>
      <c r="W247" s="82" t="s">
        <v>335</v>
      </c>
      <c r="X247" s="82" t="s">
        <v>336</v>
      </c>
      <c r="Y247" s="82" t="s">
        <v>337</v>
      </c>
      <c r="Z247" s="82" t="s">
        <v>338</v>
      </c>
      <c r="AA247" s="82" t="s">
        <v>339</v>
      </c>
      <c r="AB247" s="83" t="s">
        <v>670</v>
      </c>
      <c r="AC247" s="83" t="s">
        <v>672</v>
      </c>
    </row>
    <row r="248" spans="1:29" ht="15" customHeight="1">
      <c r="A248" s="81">
        <v>247</v>
      </c>
      <c r="B248" s="81" t="s">
        <v>663</v>
      </c>
      <c r="C248" s="82" t="s">
        <v>718</v>
      </c>
      <c r="D248" s="82" t="s">
        <v>349</v>
      </c>
      <c r="E248" s="82" t="s">
        <v>347</v>
      </c>
      <c r="F248" s="82" t="s">
        <v>385</v>
      </c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3" t="s">
        <v>670</v>
      </c>
      <c r="AC248" s="83" t="s">
        <v>672</v>
      </c>
    </row>
    <row r="249" spans="1:29" ht="15" customHeight="1">
      <c r="A249" s="81">
        <v>248</v>
      </c>
      <c r="B249" s="81" t="s">
        <v>663</v>
      </c>
      <c r="C249" s="82" t="s">
        <v>719</v>
      </c>
      <c r="D249" s="82" t="s">
        <v>349</v>
      </c>
      <c r="E249" s="82" t="s">
        <v>347</v>
      </c>
      <c r="F249" s="82" t="s">
        <v>317</v>
      </c>
      <c r="G249" s="82" t="s">
        <v>385</v>
      </c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3" t="s">
        <v>670</v>
      </c>
      <c r="AC249" s="83" t="s">
        <v>672</v>
      </c>
    </row>
    <row r="250" spans="1:29" ht="15" customHeight="1">
      <c r="A250" s="81">
        <v>249</v>
      </c>
      <c r="B250" s="81" t="s">
        <v>663</v>
      </c>
      <c r="C250" s="82" t="s">
        <v>720</v>
      </c>
      <c r="D250" s="82" t="s">
        <v>349</v>
      </c>
      <c r="E250" s="82" t="s">
        <v>347</v>
      </c>
      <c r="F250" s="82" t="s">
        <v>317</v>
      </c>
      <c r="G250" s="82" t="s">
        <v>318</v>
      </c>
      <c r="H250" s="82" t="s">
        <v>385</v>
      </c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3" t="s">
        <v>670</v>
      </c>
      <c r="AC250" s="83" t="s">
        <v>672</v>
      </c>
    </row>
    <row r="251" spans="1:29" ht="15" customHeight="1">
      <c r="A251" s="81">
        <v>250</v>
      </c>
      <c r="B251" s="81" t="s">
        <v>663</v>
      </c>
      <c r="C251" s="82" t="s">
        <v>721</v>
      </c>
      <c r="D251" s="82" t="s">
        <v>349</v>
      </c>
      <c r="E251" s="82" t="s">
        <v>347</v>
      </c>
      <c r="F251" s="82" t="s">
        <v>317</v>
      </c>
      <c r="G251" s="82" t="s">
        <v>318</v>
      </c>
      <c r="H251" s="82" t="s">
        <v>319</v>
      </c>
      <c r="I251" s="82" t="s">
        <v>385</v>
      </c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3" t="s">
        <v>670</v>
      </c>
      <c r="AC251" s="83" t="s">
        <v>672</v>
      </c>
    </row>
    <row r="252" spans="1:29" ht="15" customHeight="1">
      <c r="A252" s="81">
        <v>251</v>
      </c>
      <c r="B252" s="81" t="s">
        <v>663</v>
      </c>
      <c r="C252" s="82" t="s">
        <v>722</v>
      </c>
      <c r="D252" s="82" t="s">
        <v>349</v>
      </c>
      <c r="E252" s="82" t="s">
        <v>347</v>
      </c>
      <c r="F252" s="82" t="s">
        <v>317</v>
      </c>
      <c r="G252" s="82" t="s">
        <v>318</v>
      </c>
      <c r="H252" s="82" t="s">
        <v>319</v>
      </c>
      <c r="I252" s="82" t="s">
        <v>320</v>
      </c>
      <c r="J252" s="82" t="s">
        <v>385</v>
      </c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3" t="s">
        <v>670</v>
      </c>
      <c r="AC252" s="83" t="s">
        <v>672</v>
      </c>
    </row>
    <row r="253" spans="1:29" ht="15" customHeight="1">
      <c r="A253" s="81">
        <v>252</v>
      </c>
      <c r="B253" s="81" t="s">
        <v>663</v>
      </c>
      <c r="C253" s="82" t="s">
        <v>723</v>
      </c>
      <c r="D253" s="82" t="s">
        <v>349</v>
      </c>
      <c r="E253" s="82" t="s">
        <v>347</v>
      </c>
      <c r="F253" s="82" t="s">
        <v>317</v>
      </c>
      <c r="G253" s="82" t="s">
        <v>318</v>
      </c>
      <c r="H253" s="82" t="s">
        <v>319</v>
      </c>
      <c r="I253" s="82" t="s">
        <v>320</v>
      </c>
      <c r="J253" s="82" t="s">
        <v>321</v>
      </c>
      <c r="K253" s="82" t="s">
        <v>385</v>
      </c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3" t="s">
        <v>670</v>
      </c>
      <c r="AC253" s="83" t="s">
        <v>672</v>
      </c>
    </row>
    <row r="254" spans="1:29" ht="15" customHeight="1">
      <c r="A254" s="81">
        <v>253</v>
      </c>
      <c r="B254" s="81" t="s">
        <v>663</v>
      </c>
      <c r="C254" s="82" t="s">
        <v>724</v>
      </c>
      <c r="D254" s="82" t="s">
        <v>349</v>
      </c>
      <c r="E254" s="82" t="s">
        <v>347</v>
      </c>
      <c r="F254" s="82" t="s">
        <v>317</v>
      </c>
      <c r="G254" s="82" t="s">
        <v>318</v>
      </c>
      <c r="H254" s="82" t="s">
        <v>319</v>
      </c>
      <c r="I254" s="82" t="s">
        <v>320</v>
      </c>
      <c r="J254" s="82" t="s">
        <v>321</v>
      </c>
      <c r="K254" s="82" t="s">
        <v>322</v>
      </c>
      <c r="L254" s="82" t="s">
        <v>385</v>
      </c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3" t="s">
        <v>670</v>
      </c>
      <c r="AC254" s="83" t="s">
        <v>672</v>
      </c>
    </row>
    <row r="255" spans="1:29" ht="15" customHeight="1">
      <c r="A255" s="81">
        <v>254</v>
      </c>
      <c r="B255" s="81" t="s">
        <v>663</v>
      </c>
      <c r="C255" s="82" t="s">
        <v>725</v>
      </c>
      <c r="D255" s="82" t="s">
        <v>349</v>
      </c>
      <c r="E255" s="82" t="s">
        <v>347</v>
      </c>
      <c r="F255" s="82" t="s">
        <v>317</v>
      </c>
      <c r="G255" s="82" t="s">
        <v>318</v>
      </c>
      <c r="H255" s="82" t="s">
        <v>319</v>
      </c>
      <c r="I255" s="82" t="s">
        <v>320</v>
      </c>
      <c r="J255" s="82" t="s">
        <v>321</v>
      </c>
      <c r="K255" s="82" t="s">
        <v>322</v>
      </c>
      <c r="L255" s="82" t="s">
        <v>323</v>
      </c>
      <c r="M255" s="82" t="s">
        <v>385</v>
      </c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3" t="s">
        <v>670</v>
      </c>
      <c r="AC255" s="83" t="s">
        <v>672</v>
      </c>
    </row>
    <row r="256" spans="1:29" ht="15" customHeight="1">
      <c r="A256" s="81">
        <v>255</v>
      </c>
      <c r="B256" s="81" t="s">
        <v>663</v>
      </c>
      <c r="C256" s="82" t="s">
        <v>726</v>
      </c>
      <c r="D256" s="82" t="s">
        <v>349</v>
      </c>
      <c r="E256" s="82" t="s">
        <v>347</v>
      </c>
      <c r="F256" s="82" t="s">
        <v>317</v>
      </c>
      <c r="G256" s="82" t="s">
        <v>318</v>
      </c>
      <c r="H256" s="82" t="s">
        <v>319</v>
      </c>
      <c r="I256" s="82" t="s">
        <v>320</v>
      </c>
      <c r="J256" s="82" t="s">
        <v>321</v>
      </c>
      <c r="K256" s="82" t="s">
        <v>322</v>
      </c>
      <c r="L256" s="82" t="s">
        <v>323</v>
      </c>
      <c r="M256" s="82" t="s">
        <v>324</v>
      </c>
      <c r="N256" s="82" t="s">
        <v>385</v>
      </c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3" t="s">
        <v>670</v>
      </c>
      <c r="AC256" s="83" t="s">
        <v>672</v>
      </c>
    </row>
    <row r="257" spans="1:29" ht="15" customHeight="1">
      <c r="A257" s="81">
        <v>256</v>
      </c>
      <c r="B257" s="81" t="s">
        <v>663</v>
      </c>
      <c r="C257" s="82" t="s">
        <v>727</v>
      </c>
      <c r="D257" s="82" t="s">
        <v>349</v>
      </c>
      <c r="E257" s="82" t="s">
        <v>347</v>
      </c>
      <c r="F257" s="82" t="s">
        <v>317</v>
      </c>
      <c r="G257" s="82" t="s">
        <v>318</v>
      </c>
      <c r="H257" s="82" t="s">
        <v>319</v>
      </c>
      <c r="I257" s="82" t="s">
        <v>320</v>
      </c>
      <c r="J257" s="82" t="s">
        <v>321</v>
      </c>
      <c r="K257" s="82" t="s">
        <v>322</v>
      </c>
      <c r="L257" s="82" t="s">
        <v>323</v>
      </c>
      <c r="M257" s="82" t="s">
        <v>324</v>
      </c>
      <c r="N257" s="82" t="s">
        <v>325</v>
      </c>
      <c r="O257" s="82" t="s">
        <v>385</v>
      </c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3" t="s">
        <v>670</v>
      </c>
      <c r="AC257" s="83" t="s">
        <v>672</v>
      </c>
    </row>
    <row r="258" spans="1:29" ht="15" customHeight="1">
      <c r="A258" s="81">
        <v>257</v>
      </c>
      <c r="B258" s="81" t="s">
        <v>663</v>
      </c>
      <c r="C258" s="82" t="s">
        <v>728</v>
      </c>
      <c r="D258" s="82" t="s">
        <v>349</v>
      </c>
      <c r="E258" s="82" t="s">
        <v>347</v>
      </c>
      <c r="F258" s="82" t="s">
        <v>317</v>
      </c>
      <c r="G258" s="82" t="s">
        <v>318</v>
      </c>
      <c r="H258" s="82" t="s">
        <v>319</v>
      </c>
      <c r="I258" s="82" t="s">
        <v>320</v>
      </c>
      <c r="J258" s="82" t="s">
        <v>321</v>
      </c>
      <c r="K258" s="82" t="s">
        <v>322</v>
      </c>
      <c r="L258" s="82" t="s">
        <v>323</v>
      </c>
      <c r="M258" s="82" t="s">
        <v>324</v>
      </c>
      <c r="N258" s="82" t="s">
        <v>325</v>
      </c>
      <c r="O258" s="82" t="s">
        <v>326</v>
      </c>
      <c r="P258" s="82" t="s">
        <v>385</v>
      </c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3" t="s">
        <v>670</v>
      </c>
      <c r="AC258" s="83" t="s">
        <v>672</v>
      </c>
    </row>
    <row r="259" spans="1:29" ht="15" customHeight="1">
      <c r="A259" s="81">
        <v>258</v>
      </c>
      <c r="B259" s="81" t="s">
        <v>663</v>
      </c>
      <c r="C259" s="82" t="s">
        <v>729</v>
      </c>
      <c r="D259" s="82" t="s">
        <v>349</v>
      </c>
      <c r="E259" s="82" t="s">
        <v>347</v>
      </c>
      <c r="F259" s="82" t="s">
        <v>317</v>
      </c>
      <c r="G259" s="82" t="s">
        <v>318</v>
      </c>
      <c r="H259" s="82" t="s">
        <v>319</v>
      </c>
      <c r="I259" s="82" t="s">
        <v>320</v>
      </c>
      <c r="J259" s="82" t="s">
        <v>321</v>
      </c>
      <c r="K259" s="82" t="s">
        <v>322</v>
      </c>
      <c r="L259" s="82" t="s">
        <v>323</v>
      </c>
      <c r="M259" s="82" t="s">
        <v>324</v>
      </c>
      <c r="N259" s="82" t="s">
        <v>325</v>
      </c>
      <c r="O259" s="82" t="s">
        <v>326</v>
      </c>
      <c r="P259" s="82" t="s">
        <v>327</v>
      </c>
      <c r="Q259" s="82" t="s">
        <v>385</v>
      </c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3" t="s">
        <v>670</v>
      </c>
      <c r="AC259" s="83" t="s">
        <v>672</v>
      </c>
    </row>
    <row r="260" spans="1:29" ht="15" customHeight="1">
      <c r="A260" s="81">
        <v>259</v>
      </c>
      <c r="B260" s="81" t="s">
        <v>663</v>
      </c>
      <c r="C260" s="82" t="s">
        <v>730</v>
      </c>
      <c r="D260" s="82" t="s">
        <v>349</v>
      </c>
      <c r="E260" s="82" t="s">
        <v>347</v>
      </c>
      <c r="F260" s="82" t="s">
        <v>317</v>
      </c>
      <c r="G260" s="82" t="s">
        <v>318</v>
      </c>
      <c r="H260" s="82" t="s">
        <v>319</v>
      </c>
      <c r="I260" s="82" t="s">
        <v>320</v>
      </c>
      <c r="J260" s="82" t="s">
        <v>321</v>
      </c>
      <c r="K260" s="82" t="s">
        <v>322</v>
      </c>
      <c r="L260" s="82" t="s">
        <v>323</v>
      </c>
      <c r="M260" s="82" t="s">
        <v>324</v>
      </c>
      <c r="N260" s="82" t="s">
        <v>325</v>
      </c>
      <c r="O260" s="82" t="s">
        <v>326</v>
      </c>
      <c r="P260" s="82" t="s">
        <v>327</v>
      </c>
      <c r="Q260" s="82" t="s">
        <v>328</v>
      </c>
      <c r="R260" s="82" t="s">
        <v>385</v>
      </c>
      <c r="S260" s="82"/>
      <c r="T260" s="82"/>
      <c r="U260" s="82"/>
      <c r="V260" s="82"/>
      <c r="W260" s="82"/>
      <c r="X260" s="82"/>
      <c r="Y260" s="82"/>
      <c r="Z260" s="82"/>
      <c r="AA260" s="82"/>
      <c r="AB260" s="83" t="s">
        <v>670</v>
      </c>
      <c r="AC260" s="83" t="s">
        <v>672</v>
      </c>
    </row>
    <row r="261" spans="1:29" ht="15" customHeight="1">
      <c r="A261" s="81">
        <v>260</v>
      </c>
      <c r="B261" s="81" t="s">
        <v>663</v>
      </c>
      <c r="C261" s="82" t="s">
        <v>731</v>
      </c>
      <c r="D261" s="82" t="s">
        <v>349</v>
      </c>
      <c r="E261" s="82" t="s">
        <v>347</v>
      </c>
      <c r="F261" s="82" t="s">
        <v>317</v>
      </c>
      <c r="G261" s="82" t="s">
        <v>318</v>
      </c>
      <c r="H261" s="82" t="s">
        <v>319</v>
      </c>
      <c r="I261" s="82" t="s">
        <v>320</v>
      </c>
      <c r="J261" s="82" t="s">
        <v>321</v>
      </c>
      <c r="K261" s="82" t="s">
        <v>322</v>
      </c>
      <c r="L261" s="82" t="s">
        <v>323</v>
      </c>
      <c r="M261" s="82" t="s">
        <v>324</v>
      </c>
      <c r="N261" s="82" t="s">
        <v>325</v>
      </c>
      <c r="O261" s="82" t="s">
        <v>326</v>
      </c>
      <c r="P261" s="82" t="s">
        <v>327</v>
      </c>
      <c r="Q261" s="82" t="s">
        <v>328</v>
      </c>
      <c r="R261" s="82" t="s">
        <v>329</v>
      </c>
      <c r="S261" s="82" t="s">
        <v>385</v>
      </c>
      <c r="T261" s="82"/>
      <c r="U261" s="82"/>
      <c r="V261" s="82"/>
      <c r="W261" s="82"/>
      <c r="X261" s="82"/>
      <c r="Y261" s="82"/>
      <c r="Z261" s="82"/>
      <c r="AA261" s="82"/>
      <c r="AB261" s="83" t="s">
        <v>670</v>
      </c>
      <c r="AC261" s="83" t="s">
        <v>672</v>
      </c>
    </row>
    <row r="262" spans="1:29" ht="15" customHeight="1">
      <c r="A262" s="81">
        <v>261</v>
      </c>
      <c r="B262" s="81" t="s">
        <v>663</v>
      </c>
      <c r="C262" s="82" t="s">
        <v>732</v>
      </c>
      <c r="D262" s="82" t="s">
        <v>349</v>
      </c>
      <c r="E262" s="82" t="s">
        <v>347</v>
      </c>
      <c r="F262" s="82" t="s">
        <v>317</v>
      </c>
      <c r="G262" s="82" t="s">
        <v>318</v>
      </c>
      <c r="H262" s="82" t="s">
        <v>319</v>
      </c>
      <c r="I262" s="82" t="s">
        <v>320</v>
      </c>
      <c r="J262" s="82" t="s">
        <v>321</v>
      </c>
      <c r="K262" s="82" t="s">
        <v>322</v>
      </c>
      <c r="L262" s="82" t="s">
        <v>323</v>
      </c>
      <c r="M262" s="82" t="s">
        <v>324</v>
      </c>
      <c r="N262" s="82" t="s">
        <v>325</v>
      </c>
      <c r="O262" s="82" t="s">
        <v>326</v>
      </c>
      <c r="P262" s="82" t="s">
        <v>327</v>
      </c>
      <c r="Q262" s="82" t="s">
        <v>328</v>
      </c>
      <c r="R262" s="82" t="s">
        <v>329</v>
      </c>
      <c r="S262" s="82" t="s">
        <v>330</v>
      </c>
      <c r="T262" s="82" t="s">
        <v>385</v>
      </c>
      <c r="U262" s="82"/>
      <c r="V262" s="82"/>
      <c r="W262" s="82"/>
      <c r="X262" s="82"/>
      <c r="Y262" s="82"/>
      <c r="Z262" s="82"/>
      <c r="AA262" s="82"/>
      <c r="AB262" s="83" t="s">
        <v>670</v>
      </c>
      <c r="AC262" s="83" t="s">
        <v>672</v>
      </c>
    </row>
    <row r="263" spans="1:29" ht="15" customHeight="1">
      <c r="A263" s="81">
        <v>262</v>
      </c>
      <c r="B263" s="81" t="s">
        <v>663</v>
      </c>
      <c r="C263" s="82" t="s">
        <v>733</v>
      </c>
      <c r="D263" s="82" t="s">
        <v>349</v>
      </c>
      <c r="E263" s="82" t="s">
        <v>347</v>
      </c>
      <c r="F263" s="82" t="s">
        <v>317</v>
      </c>
      <c r="G263" s="82" t="s">
        <v>318</v>
      </c>
      <c r="H263" s="82" t="s">
        <v>319</v>
      </c>
      <c r="I263" s="82" t="s">
        <v>320</v>
      </c>
      <c r="J263" s="82" t="s">
        <v>321</v>
      </c>
      <c r="K263" s="82" t="s">
        <v>322</v>
      </c>
      <c r="L263" s="82" t="s">
        <v>323</v>
      </c>
      <c r="M263" s="82" t="s">
        <v>324</v>
      </c>
      <c r="N263" s="82" t="s">
        <v>325</v>
      </c>
      <c r="O263" s="82" t="s">
        <v>326</v>
      </c>
      <c r="P263" s="82" t="s">
        <v>327</v>
      </c>
      <c r="Q263" s="82" t="s">
        <v>328</v>
      </c>
      <c r="R263" s="82" t="s">
        <v>329</v>
      </c>
      <c r="S263" s="82" t="s">
        <v>330</v>
      </c>
      <c r="T263" s="82" t="s">
        <v>331</v>
      </c>
      <c r="U263" s="82" t="s">
        <v>385</v>
      </c>
      <c r="V263" s="82"/>
      <c r="W263" s="82"/>
      <c r="X263" s="82"/>
      <c r="Y263" s="82"/>
      <c r="Z263" s="82"/>
      <c r="AA263" s="82"/>
      <c r="AB263" s="83" t="s">
        <v>670</v>
      </c>
      <c r="AC263" s="83" t="s">
        <v>672</v>
      </c>
    </row>
    <row r="264" spans="1:29" ht="15" customHeight="1">
      <c r="A264" s="81">
        <v>263</v>
      </c>
      <c r="B264" s="81" t="s">
        <v>663</v>
      </c>
      <c r="C264" s="82" t="s">
        <v>734</v>
      </c>
      <c r="D264" s="82" t="s">
        <v>349</v>
      </c>
      <c r="E264" s="82" t="s">
        <v>347</v>
      </c>
      <c r="F264" s="82" t="s">
        <v>317</v>
      </c>
      <c r="G264" s="82" t="s">
        <v>318</v>
      </c>
      <c r="H264" s="82" t="s">
        <v>319</v>
      </c>
      <c r="I264" s="82" t="s">
        <v>320</v>
      </c>
      <c r="J264" s="82" t="s">
        <v>321</v>
      </c>
      <c r="K264" s="82" t="s">
        <v>322</v>
      </c>
      <c r="L264" s="82" t="s">
        <v>323</v>
      </c>
      <c r="M264" s="82" t="s">
        <v>324</v>
      </c>
      <c r="N264" s="82" t="s">
        <v>325</v>
      </c>
      <c r="O264" s="82" t="s">
        <v>326</v>
      </c>
      <c r="P264" s="82" t="s">
        <v>327</v>
      </c>
      <c r="Q264" s="82" t="s">
        <v>328</v>
      </c>
      <c r="R264" s="82" t="s">
        <v>329</v>
      </c>
      <c r="S264" s="82" t="s">
        <v>330</v>
      </c>
      <c r="T264" s="82" t="s">
        <v>331</v>
      </c>
      <c r="U264" s="82" t="s">
        <v>332</v>
      </c>
      <c r="V264" s="82" t="s">
        <v>385</v>
      </c>
      <c r="W264" s="82"/>
      <c r="X264" s="82"/>
      <c r="Y264" s="82"/>
      <c r="Z264" s="82"/>
      <c r="AA264" s="82"/>
      <c r="AB264" s="83" t="s">
        <v>670</v>
      </c>
      <c r="AC264" s="83" t="s">
        <v>672</v>
      </c>
    </row>
    <row r="265" spans="1:29" ht="15" customHeight="1">
      <c r="A265" s="81">
        <v>264</v>
      </c>
      <c r="B265" s="81" t="s">
        <v>663</v>
      </c>
      <c r="C265" s="82" t="s">
        <v>735</v>
      </c>
      <c r="D265" s="82" t="s">
        <v>349</v>
      </c>
      <c r="E265" s="82" t="s">
        <v>347</v>
      </c>
      <c r="F265" s="82" t="s">
        <v>317</v>
      </c>
      <c r="G265" s="82" t="s">
        <v>318</v>
      </c>
      <c r="H265" s="82" t="s">
        <v>319</v>
      </c>
      <c r="I265" s="82" t="s">
        <v>320</v>
      </c>
      <c r="J265" s="82" t="s">
        <v>321</v>
      </c>
      <c r="K265" s="82" t="s">
        <v>322</v>
      </c>
      <c r="L265" s="82" t="s">
        <v>323</v>
      </c>
      <c r="M265" s="82" t="s">
        <v>324</v>
      </c>
      <c r="N265" s="82" t="s">
        <v>325</v>
      </c>
      <c r="O265" s="82" t="s">
        <v>326</v>
      </c>
      <c r="P265" s="82" t="s">
        <v>327</v>
      </c>
      <c r="Q265" s="82" t="s">
        <v>328</v>
      </c>
      <c r="R265" s="82" t="s">
        <v>329</v>
      </c>
      <c r="S265" s="82" t="s">
        <v>330</v>
      </c>
      <c r="T265" s="82" t="s">
        <v>331</v>
      </c>
      <c r="U265" s="82" t="s">
        <v>332</v>
      </c>
      <c r="V265" s="82" t="s">
        <v>333</v>
      </c>
      <c r="W265" s="82" t="s">
        <v>385</v>
      </c>
      <c r="X265" s="82"/>
      <c r="Y265" s="82"/>
      <c r="Z265" s="82"/>
      <c r="AA265" s="82"/>
      <c r="AB265" s="83" t="s">
        <v>670</v>
      </c>
      <c r="AC265" s="83" t="s">
        <v>672</v>
      </c>
    </row>
    <row r="266" spans="1:29" ht="15" customHeight="1">
      <c r="A266" s="81">
        <v>265</v>
      </c>
      <c r="B266" s="81" t="s">
        <v>663</v>
      </c>
      <c r="C266" s="82" t="s">
        <v>736</v>
      </c>
      <c r="D266" s="82" t="s">
        <v>349</v>
      </c>
      <c r="E266" s="82" t="s">
        <v>347</v>
      </c>
      <c r="F266" s="82" t="s">
        <v>317</v>
      </c>
      <c r="G266" s="82" t="s">
        <v>318</v>
      </c>
      <c r="H266" s="82" t="s">
        <v>319</v>
      </c>
      <c r="I266" s="82" t="s">
        <v>320</v>
      </c>
      <c r="J266" s="82" t="s">
        <v>321</v>
      </c>
      <c r="K266" s="82" t="s">
        <v>322</v>
      </c>
      <c r="L266" s="82" t="s">
        <v>323</v>
      </c>
      <c r="M266" s="82" t="s">
        <v>324</v>
      </c>
      <c r="N266" s="82" t="s">
        <v>325</v>
      </c>
      <c r="O266" s="82" t="s">
        <v>326</v>
      </c>
      <c r="P266" s="82" t="s">
        <v>327</v>
      </c>
      <c r="Q266" s="82" t="s">
        <v>328</v>
      </c>
      <c r="R266" s="82" t="s">
        <v>329</v>
      </c>
      <c r="S266" s="82" t="s">
        <v>330</v>
      </c>
      <c r="T266" s="82" t="s">
        <v>331</v>
      </c>
      <c r="U266" s="82" t="s">
        <v>332</v>
      </c>
      <c r="V266" s="82" t="s">
        <v>333</v>
      </c>
      <c r="W266" s="82" t="s">
        <v>334</v>
      </c>
      <c r="X266" s="82" t="s">
        <v>385</v>
      </c>
      <c r="Y266" s="82"/>
      <c r="Z266" s="82"/>
      <c r="AA266" s="82"/>
      <c r="AB266" s="83" t="s">
        <v>670</v>
      </c>
      <c r="AC266" s="83" t="s">
        <v>672</v>
      </c>
    </row>
    <row r="267" spans="1:29" ht="15" customHeight="1">
      <c r="A267" s="81">
        <v>266</v>
      </c>
      <c r="B267" s="81" t="s">
        <v>663</v>
      </c>
      <c r="C267" s="82" t="s">
        <v>737</v>
      </c>
      <c r="D267" s="82" t="s">
        <v>349</v>
      </c>
      <c r="E267" s="82" t="s">
        <v>347</v>
      </c>
      <c r="F267" s="82" t="s">
        <v>317</v>
      </c>
      <c r="G267" s="82" t="s">
        <v>318</v>
      </c>
      <c r="H267" s="82" t="s">
        <v>319</v>
      </c>
      <c r="I267" s="82" t="s">
        <v>320</v>
      </c>
      <c r="J267" s="82" t="s">
        <v>321</v>
      </c>
      <c r="K267" s="82" t="s">
        <v>322</v>
      </c>
      <c r="L267" s="82" t="s">
        <v>323</v>
      </c>
      <c r="M267" s="82" t="s">
        <v>324</v>
      </c>
      <c r="N267" s="82" t="s">
        <v>325</v>
      </c>
      <c r="O267" s="82" t="s">
        <v>326</v>
      </c>
      <c r="P267" s="82" t="s">
        <v>327</v>
      </c>
      <c r="Q267" s="82" t="s">
        <v>328</v>
      </c>
      <c r="R267" s="82" t="s">
        <v>329</v>
      </c>
      <c r="S267" s="82" t="s">
        <v>330</v>
      </c>
      <c r="T267" s="82" t="s">
        <v>331</v>
      </c>
      <c r="U267" s="82" t="s">
        <v>332</v>
      </c>
      <c r="V267" s="82" t="s">
        <v>333</v>
      </c>
      <c r="W267" s="82" t="s">
        <v>334</v>
      </c>
      <c r="X267" s="82" t="s">
        <v>335</v>
      </c>
      <c r="Y267" s="82" t="s">
        <v>385</v>
      </c>
      <c r="Z267" s="82"/>
      <c r="AA267" s="82"/>
      <c r="AB267" s="83" t="s">
        <v>670</v>
      </c>
      <c r="AC267" s="83" t="s">
        <v>672</v>
      </c>
    </row>
    <row r="268" spans="1:29" ht="15" customHeight="1">
      <c r="A268" s="81">
        <v>267</v>
      </c>
      <c r="B268" s="81" t="s">
        <v>663</v>
      </c>
      <c r="C268" s="82" t="s">
        <v>738</v>
      </c>
      <c r="D268" s="82" t="s">
        <v>349</v>
      </c>
      <c r="E268" s="82" t="s">
        <v>347</v>
      </c>
      <c r="F268" s="82" t="s">
        <v>317</v>
      </c>
      <c r="G268" s="82" t="s">
        <v>318</v>
      </c>
      <c r="H268" s="82" t="s">
        <v>319</v>
      </c>
      <c r="I268" s="82" t="s">
        <v>320</v>
      </c>
      <c r="J268" s="82" t="s">
        <v>321</v>
      </c>
      <c r="K268" s="82" t="s">
        <v>322</v>
      </c>
      <c r="L268" s="82" t="s">
        <v>323</v>
      </c>
      <c r="M268" s="82" t="s">
        <v>324</v>
      </c>
      <c r="N268" s="82" t="s">
        <v>325</v>
      </c>
      <c r="O268" s="82" t="s">
        <v>326</v>
      </c>
      <c r="P268" s="82" t="s">
        <v>327</v>
      </c>
      <c r="Q268" s="82" t="s">
        <v>328</v>
      </c>
      <c r="R268" s="82" t="s">
        <v>329</v>
      </c>
      <c r="S268" s="82" t="s">
        <v>330</v>
      </c>
      <c r="T268" s="82" t="s">
        <v>331</v>
      </c>
      <c r="U268" s="82" t="s">
        <v>332</v>
      </c>
      <c r="V268" s="82" t="s">
        <v>333</v>
      </c>
      <c r="W268" s="82" t="s">
        <v>334</v>
      </c>
      <c r="X268" s="82" t="s">
        <v>335</v>
      </c>
      <c r="Y268" s="82" t="s">
        <v>336</v>
      </c>
      <c r="Z268" s="82" t="s">
        <v>385</v>
      </c>
      <c r="AA268" s="82"/>
      <c r="AB268" s="83" t="s">
        <v>670</v>
      </c>
      <c r="AC268" s="83" t="s">
        <v>672</v>
      </c>
    </row>
    <row r="269" spans="1:29" ht="15" customHeight="1">
      <c r="A269" s="81">
        <v>268</v>
      </c>
      <c r="B269" s="81" t="s">
        <v>663</v>
      </c>
      <c r="C269" s="82" t="s">
        <v>739</v>
      </c>
      <c r="D269" s="82" t="s">
        <v>349</v>
      </c>
      <c r="E269" s="82" t="s">
        <v>347</v>
      </c>
      <c r="F269" s="82" t="s">
        <v>317</v>
      </c>
      <c r="G269" s="82" t="s">
        <v>318</v>
      </c>
      <c r="H269" s="82" t="s">
        <v>319</v>
      </c>
      <c r="I269" s="82" t="s">
        <v>320</v>
      </c>
      <c r="J269" s="82" t="s">
        <v>321</v>
      </c>
      <c r="K269" s="82" t="s">
        <v>322</v>
      </c>
      <c r="L269" s="82" t="s">
        <v>323</v>
      </c>
      <c r="M269" s="82" t="s">
        <v>324</v>
      </c>
      <c r="N269" s="82" t="s">
        <v>325</v>
      </c>
      <c r="O269" s="82" t="s">
        <v>326</v>
      </c>
      <c r="P269" s="82" t="s">
        <v>327</v>
      </c>
      <c r="Q269" s="82" t="s">
        <v>328</v>
      </c>
      <c r="R269" s="82" t="s">
        <v>329</v>
      </c>
      <c r="S269" s="82" t="s">
        <v>330</v>
      </c>
      <c r="T269" s="82" t="s">
        <v>331</v>
      </c>
      <c r="U269" s="82" t="s">
        <v>332</v>
      </c>
      <c r="V269" s="82" t="s">
        <v>333</v>
      </c>
      <c r="W269" s="82" t="s">
        <v>334</v>
      </c>
      <c r="X269" s="82" t="s">
        <v>335</v>
      </c>
      <c r="Y269" s="82" t="s">
        <v>336</v>
      </c>
      <c r="Z269" s="82" t="s">
        <v>337</v>
      </c>
      <c r="AA269" s="82" t="s">
        <v>385</v>
      </c>
      <c r="AB269" s="83" t="s">
        <v>670</v>
      </c>
      <c r="AC269" s="83" t="s">
        <v>672</v>
      </c>
    </row>
    <row r="270" spans="1:29" ht="15" customHeight="1">
      <c r="A270" s="81">
        <v>269</v>
      </c>
      <c r="B270" s="81" t="s">
        <v>663</v>
      </c>
      <c r="C270" s="82" t="s">
        <v>740</v>
      </c>
      <c r="D270" s="82" t="s">
        <v>345</v>
      </c>
      <c r="E270" s="82" t="s">
        <v>349</v>
      </c>
      <c r="F270" s="82" t="s">
        <v>347</v>
      </c>
      <c r="G270" s="82" t="s">
        <v>385</v>
      </c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3" t="s">
        <v>670</v>
      </c>
      <c r="AC270" s="83" t="s">
        <v>672</v>
      </c>
    </row>
    <row r="271" spans="1:29" ht="15" customHeight="1">
      <c r="A271" s="81">
        <v>270</v>
      </c>
      <c r="B271" s="81" t="s">
        <v>663</v>
      </c>
      <c r="C271" s="82" t="s">
        <v>741</v>
      </c>
      <c r="D271" s="82" t="s">
        <v>345</v>
      </c>
      <c r="E271" s="82" t="s">
        <v>349</v>
      </c>
      <c r="F271" s="82" t="s">
        <v>347</v>
      </c>
      <c r="G271" s="82" t="s">
        <v>385</v>
      </c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3" t="s">
        <v>670</v>
      </c>
      <c r="AC271" s="83" t="s">
        <v>672</v>
      </c>
    </row>
    <row r="272" spans="1:29" ht="15" customHeight="1">
      <c r="A272" s="81">
        <v>271</v>
      </c>
      <c r="B272" s="81" t="s">
        <v>663</v>
      </c>
      <c r="C272" s="82" t="s">
        <v>742</v>
      </c>
      <c r="D272" s="82" t="s">
        <v>345</v>
      </c>
      <c r="E272" s="82" t="s">
        <v>349</v>
      </c>
      <c r="F272" s="82" t="s">
        <v>347</v>
      </c>
      <c r="G272" s="82" t="s">
        <v>317</v>
      </c>
      <c r="H272" s="82" t="s">
        <v>385</v>
      </c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3" t="s">
        <v>670</v>
      </c>
      <c r="AC272" s="83" t="s">
        <v>672</v>
      </c>
    </row>
    <row r="273" spans="1:29" ht="15" customHeight="1">
      <c r="A273" s="81">
        <v>272</v>
      </c>
      <c r="B273" s="81" t="s">
        <v>663</v>
      </c>
      <c r="C273" s="82" t="s">
        <v>743</v>
      </c>
      <c r="D273" s="82" t="s">
        <v>345</v>
      </c>
      <c r="E273" s="82" t="s">
        <v>349</v>
      </c>
      <c r="F273" s="82" t="s">
        <v>347</v>
      </c>
      <c r="G273" s="82" t="s">
        <v>317</v>
      </c>
      <c r="H273" s="82" t="s">
        <v>318</v>
      </c>
      <c r="I273" s="82" t="s">
        <v>319</v>
      </c>
      <c r="J273" s="82" t="s">
        <v>385</v>
      </c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3" t="s">
        <v>670</v>
      </c>
      <c r="AC273" s="83" t="s">
        <v>672</v>
      </c>
    </row>
    <row r="274" spans="1:29" ht="15" customHeight="1">
      <c r="A274" s="81">
        <v>273</v>
      </c>
      <c r="B274" s="81" t="s">
        <v>663</v>
      </c>
      <c r="C274" s="82" t="s">
        <v>744</v>
      </c>
      <c r="D274" s="82" t="s">
        <v>345</v>
      </c>
      <c r="E274" s="82" t="s">
        <v>349</v>
      </c>
      <c r="F274" s="82" t="s">
        <v>347</v>
      </c>
      <c r="G274" s="82" t="s">
        <v>317</v>
      </c>
      <c r="H274" s="82" t="s">
        <v>318</v>
      </c>
      <c r="I274" s="82" t="s">
        <v>319</v>
      </c>
      <c r="J274" s="82" t="s">
        <v>320</v>
      </c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3" t="s">
        <v>670</v>
      </c>
      <c r="AC274" s="83" t="s">
        <v>672</v>
      </c>
    </row>
    <row r="275" spans="1:29" ht="15" customHeight="1">
      <c r="A275" s="81">
        <v>274</v>
      </c>
      <c r="B275" s="81" t="s">
        <v>663</v>
      </c>
      <c r="C275" s="82" t="s">
        <v>745</v>
      </c>
      <c r="D275" s="82" t="s">
        <v>345</v>
      </c>
      <c r="E275" s="82" t="s">
        <v>349</v>
      </c>
      <c r="F275" s="82" t="s">
        <v>347</v>
      </c>
      <c r="G275" s="82" t="s">
        <v>317</v>
      </c>
      <c r="H275" s="82" t="s">
        <v>318</v>
      </c>
      <c r="I275" s="82" t="s">
        <v>319</v>
      </c>
      <c r="J275" s="82" t="s">
        <v>320</v>
      </c>
      <c r="K275" s="82" t="s">
        <v>385</v>
      </c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3" t="s">
        <v>670</v>
      </c>
      <c r="AC275" s="83" t="s">
        <v>672</v>
      </c>
    </row>
    <row r="276" spans="1:29" ht="15" customHeight="1">
      <c r="A276" s="81">
        <v>275</v>
      </c>
      <c r="B276" s="81" t="s">
        <v>663</v>
      </c>
      <c r="C276" s="82" t="s">
        <v>746</v>
      </c>
      <c r="D276" s="82" t="s">
        <v>345</v>
      </c>
      <c r="E276" s="82" t="s">
        <v>349</v>
      </c>
      <c r="F276" s="82" t="s">
        <v>347</v>
      </c>
      <c r="G276" s="82" t="s">
        <v>317</v>
      </c>
      <c r="H276" s="82" t="s">
        <v>318</v>
      </c>
      <c r="I276" s="82" t="s">
        <v>319</v>
      </c>
      <c r="J276" s="82" t="s">
        <v>320</v>
      </c>
      <c r="K276" s="82" t="s">
        <v>321</v>
      </c>
      <c r="L276" s="82" t="s">
        <v>385</v>
      </c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3" t="s">
        <v>670</v>
      </c>
      <c r="AC276" s="83" t="s">
        <v>672</v>
      </c>
    </row>
    <row r="277" spans="1:29" ht="15" customHeight="1">
      <c r="A277" s="81">
        <v>276</v>
      </c>
      <c r="B277" s="81" t="s">
        <v>663</v>
      </c>
      <c r="C277" s="82" t="s">
        <v>747</v>
      </c>
      <c r="D277" s="82" t="s">
        <v>345</v>
      </c>
      <c r="E277" s="82" t="s">
        <v>349</v>
      </c>
      <c r="F277" s="82" t="s">
        <v>347</v>
      </c>
      <c r="G277" s="82" t="s">
        <v>317</v>
      </c>
      <c r="H277" s="82" t="s">
        <v>318</v>
      </c>
      <c r="I277" s="82" t="s">
        <v>319</v>
      </c>
      <c r="J277" s="82" t="s">
        <v>320</v>
      </c>
      <c r="K277" s="82" t="s">
        <v>321</v>
      </c>
      <c r="L277" s="82" t="s">
        <v>322</v>
      </c>
      <c r="M277" s="82" t="s">
        <v>385</v>
      </c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3" t="s">
        <v>670</v>
      </c>
      <c r="AC277" s="83" t="s">
        <v>672</v>
      </c>
    </row>
    <row r="278" spans="1:29" ht="15" customHeight="1">
      <c r="A278" s="81">
        <v>277</v>
      </c>
      <c r="B278" s="81" t="s">
        <v>663</v>
      </c>
      <c r="C278" s="82" t="s">
        <v>748</v>
      </c>
      <c r="D278" s="82" t="s">
        <v>345</v>
      </c>
      <c r="E278" s="82" t="s">
        <v>349</v>
      </c>
      <c r="F278" s="82" t="s">
        <v>347</v>
      </c>
      <c r="G278" s="82" t="s">
        <v>317</v>
      </c>
      <c r="H278" s="82" t="s">
        <v>318</v>
      </c>
      <c r="I278" s="82" t="s">
        <v>319</v>
      </c>
      <c r="J278" s="82" t="s">
        <v>320</v>
      </c>
      <c r="K278" s="82" t="s">
        <v>321</v>
      </c>
      <c r="L278" s="82" t="s">
        <v>322</v>
      </c>
      <c r="M278" s="82" t="s">
        <v>323</v>
      </c>
      <c r="N278" s="82" t="s">
        <v>324</v>
      </c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3" t="s">
        <v>670</v>
      </c>
      <c r="AC278" s="83" t="s">
        <v>672</v>
      </c>
    </row>
    <row r="279" spans="1:29" ht="15" customHeight="1">
      <c r="A279" s="81">
        <v>278</v>
      </c>
      <c r="B279" s="81" t="s">
        <v>663</v>
      </c>
      <c r="C279" s="82" t="s">
        <v>749</v>
      </c>
      <c r="D279" s="82" t="s">
        <v>345</v>
      </c>
      <c r="E279" s="82" t="s">
        <v>349</v>
      </c>
      <c r="F279" s="82" t="s">
        <v>347</v>
      </c>
      <c r="G279" s="82" t="s">
        <v>317</v>
      </c>
      <c r="H279" s="82" t="s">
        <v>318</v>
      </c>
      <c r="I279" s="82" t="s">
        <v>319</v>
      </c>
      <c r="J279" s="82" t="s">
        <v>320</v>
      </c>
      <c r="K279" s="82" t="s">
        <v>321</v>
      </c>
      <c r="L279" s="82" t="s">
        <v>322</v>
      </c>
      <c r="M279" s="82" t="s">
        <v>323</v>
      </c>
      <c r="N279" s="82" t="s">
        <v>324</v>
      </c>
      <c r="O279" s="82" t="s">
        <v>385</v>
      </c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3" t="s">
        <v>670</v>
      </c>
      <c r="AC279" s="83" t="s">
        <v>672</v>
      </c>
    </row>
    <row r="280" spans="1:29" ht="15" customHeight="1">
      <c r="A280" s="81">
        <v>279</v>
      </c>
      <c r="B280" s="81" t="s">
        <v>663</v>
      </c>
      <c r="C280" s="82" t="s">
        <v>750</v>
      </c>
      <c r="D280" s="82" t="s">
        <v>345</v>
      </c>
      <c r="E280" s="82" t="s">
        <v>349</v>
      </c>
      <c r="F280" s="82" t="s">
        <v>347</v>
      </c>
      <c r="G280" s="82" t="s">
        <v>317</v>
      </c>
      <c r="H280" s="82" t="s">
        <v>318</v>
      </c>
      <c r="I280" s="82" t="s">
        <v>319</v>
      </c>
      <c r="J280" s="82" t="s">
        <v>320</v>
      </c>
      <c r="K280" s="82" t="s">
        <v>321</v>
      </c>
      <c r="L280" s="82" t="s">
        <v>322</v>
      </c>
      <c r="M280" s="82" t="s">
        <v>323</v>
      </c>
      <c r="N280" s="82" t="s">
        <v>324</v>
      </c>
      <c r="O280" s="82" t="s">
        <v>325</v>
      </c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3" t="s">
        <v>670</v>
      </c>
      <c r="AC280" s="83" t="s">
        <v>672</v>
      </c>
    </row>
    <row r="281" spans="1:29" ht="15" customHeight="1">
      <c r="A281" s="81">
        <v>280</v>
      </c>
      <c r="B281" s="81" t="s">
        <v>663</v>
      </c>
      <c r="C281" s="82" t="s">
        <v>751</v>
      </c>
      <c r="D281" s="82" t="s">
        <v>345</v>
      </c>
      <c r="E281" s="82" t="s">
        <v>349</v>
      </c>
      <c r="F281" s="82" t="s">
        <v>347</v>
      </c>
      <c r="G281" s="82" t="s">
        <v>317</v>
      </c>
      <c r="H281" s="82" t="s">
        <v>318</v>
      </c>
      <c r="I281" s="82" t="s">
        <v>319</v>
      </c>
      <c r="J281" s="82" t="s">
        <v>320</v>
      </c>
      <c r="K281" s="82" t="s">
        <v>321</v>
      </c>
      <c r="L281" s="82" t="s">
        <v>322</v>
      </c>
      <c r="M281" s="82" t="s">
        <v>323</v>
      </c>
      <c r="N281" s="82" t="s">
        <v>324</v>
      </c>
      <c r="O281" s="82" t="s">
        <v>325</v>
      </c>
      <c r="P281" s="82" t="s">
        <v>385</v>
      </c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3" t="s">
        <v>670</v>
      </c>
      <c r="AC281" s="83" t="s">
        <v>672</v>
      </c>
    </row>
    <row r="282" spans="1:29" ht="15" customHeight="1">
      <c r="A282" s="81">
        <v>281</v>
      </c>
      <c r="B282" s="81" t="s">
        <v>663</v>
      </c>
      <c r="C282" s="82" t="s">
        <v>752</v>
      </c>
      <c r="D282" s="82" t="s">
        <v>345</v>
      </c>
      <c r="E282" s="82" t="s">
        <v>349</v>
      </c>
      <c r="F282" s="82" t="s">
        <v>347</v>
      </c>
      <c r="G282" s="82" t="s">
        <v>317</v>
      </c>
      <c r="H282" s="82" t="s">
        <v>318</v>
      </c>
      <c r="I282" s="82" t="s">
        <v>319</v>
      </c>
      <c r="J282" s="82" t="s">
        <v>320</v>
      </c>
      <c r="K282" s="82" t="s">
        <v>321</v>
      </c>
      <c r="L282" s="82" t="s">
        <v>322</v>
      </c>
      <c r="M282" s="82" t="s">
        <v>323</v>
      </c>
      <c r="N282" s="82" t="s">
        <v>324</v>
      </c>
      <c r="O282" s="82" t="s">
        <v>325</v>
      </c>
      <c r="P282" s="82" t="s">
        <v>326</v>
      </c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3" t="s">
        <v>670</v>
      </c>
      <c r="AC282" s="83" t="s">
        <v>672</v>
      </c>
    </row>
    <row r="283" spans="1:29" ht="15" customHeight="1">
      <c r="A283" s="81">
        <v>282</v>
      </c>
      <c r="B283" s="81" t="s">
        <v>663</v>
      </c>
      <c r="C283" s="82" t="s">
        <v>753</v>
      </c>
      <c r="D283" s="82" t="s">
        <v>345</v>
      </c>
      <c r="E283" s="82" t="s">
        <v>349</v>
      </c>
      <c r="F283" s="82" t="s">
        <v>347</v>
      </c>
      <c r="G283" s="82" t="s">
        <v>317</v>
      </c>
      <c r="H283" s="82" t="s">
        <v>318</v>
      </c>
      <c r="I283" s="82" t="s">
        <v>319</v>
      </c>
      <c r="J283" s="82" t="s">
        <v>320</v>
      </c>
      <c r="K283" s="82" t="s">
        <v>321</v>
      </c>
      <c r="L283" s="82" t="s">
        <v>322</v>
      </c>
      <c r="M283" s="82" t="s">
        <v>323</v>
      </c>
      <c r="N283" s="82" t="s">
        <v>324</v>
      </c>
      <c r="O283" s="82" t="s">
        <v>325</v>
      </c>
      <c r="P283" s="82" t="s">
        <v>326</v>
      </c>
      <c r="Q283" s="82" t="s">
        <v>385</v>
      </c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3" t="s">
        <v>670</v>
      </c>
      <c r="AC283" s="83" t="s">
        <v>672</v>
      </c>
    </row>
    <row r="284" spans="1:29" ht="15" customHeight="1">
      <c r="A284" s="81">
        <v>283</v>
      </c>
      <c r="B284" s="81" t="s">
        <v>663</v>
      </c>
      <c r="C284" s="82" t="s">
        <v>754</v>
      </c>
      <c r="D284" s="82" t="s">
        <v>345</v>
      </c>
      <c r="E284" s="82" t="s">
        <v>349</v>
      </c>
      <c r="F284" s="82" t="s">
        <v>347</v>
      </c>
      <c r="G284" s="82" t="s">
        <v>317</v>
      </c>
      <c r="H284" s="82" t="s">
        <v>318</v>
      </c>
      <c r="I284" s="82" t="s">
        <v>319</v>
      </c>
      <c r="J284" s="82" t="s">
        <v>320</v>
      </c>
      <c r="K284" s="82" t="s">
        <v>321</v>
      </c>
      <c r="L284" s="82" t="s">
        <v>322</v>
      </c>
      <c r="M284" s="82" t="s">
        <v>323</v>
      </c>
      <c r="N284" s="82" t="s">
        <v>324</v>
      </c>
      <c r="O284" s="82" t="s">
        <v>325</v>
      </c>
      <c r="P284" s="82" t="s">
        <v>326</v>
      </c>
      <c r="Q284" s="82" t="s">
        <v>327</v>
      </c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3" t="s">
        <v>670</v>
      </c>
      <c r="AC284" s="83" t="s">
        <v>672</v>
      </c>
    </row>
    <row r="285" spans="1:29" ht="15" customHeight="1">
      <c r="A285" s="81">
        <v>284</v>
      </c>
      <c r="B285" s="81" t="s">
        <v>663</v>
      </c>
      <c r="C285" s="82" t="s">
        <v>755</v>
      </c>
      <c r="D285" s="82" t="s">
        <v>345</v>
      </c>
      <c r="E285" s="82" t="s">
        <v>349</v>
      </c>
      <c r="F285" s="82" t="s">
        <v>347</v>
      </c>
      <c r="G285" s="82" t="s">
        <v>317</v>
      </c>
      <c r="H285" s="82" t="s">
        <v>318</v>
      </c>
      <c r="I285" s="82" t="s">
        <v>319</v>
      </c>
      <c r="J285" s="82" t="s">
        <v>320</v>
      </c>
      <c r="K285" s="82" t="s">
        <v>321</v>
      </c>
      <c r="L285" s="82" t="s">
        <v>322</v>
      </c>
      <c r="M285" s="82" t="s">
        <v>323</v>
      </c>
      <c r="N285" s="82" t="s">
        <v>324</v>
      </c>
      <c r="O285" s="82" t="s">
        <v>325</v>
      </c>
      <c r="P285" s="82" t="s">
        <v>326</v>
      </c>
      <c r="Q285" s="82" t="s">
        <v>327</v>
      </c>
      <c r="R285" s="82" t="s">
        <v>385</v>
      </c>
      <c r="S285" s="82"/>
      <c r="T285" s="82"/>
      <c r="U285" s="82"/>
      <c r="V285" s="82"/>
      <c r="W285" s="82"/>
      <c r="X285" s="82"/>
      <c r="Y285" s="82"/>
      <c r="Z285" s="82"/>
      <c r="AA285" s="82"/>
      <c r="AB285" s="83" t="s">
        <v>670</v>
      </c>
      <c r="AC285" s="83" t="s">
        <v>672</v>
      </c>
    </row>
    <row r="286" spans="1:29" ht="15" customHeight="1">
      <c r="A286" s="81">
        <v>285</v>
      </c>
      <c r="B286" s="81" t="s">
        <v>663</v>
      </c>
      <c r="C286" s="82" t="s">
        <v>756</v>
      </c>
      <c r="D286" s="82" t="s">
        <v>345</v>
      </c>
      <c r="E286" s="82" t="s">
        <v>349</v>
      </c>
      <c r="F286" s="82" t="s">
        <v>347</v>
      </c>
      <c r="G286" s="82" t="s">
        <v>317</v>
      </c>
      <c r="H286" s="82" t="s">
        <v>318</v>
      </c>
      <c r="I286" s="82" t="s">
        <v>319</v>
      </c>
      <c r="J286" s="82" t="s">
        <v>320</v>
      </c>
      <c r="K286" s="82" t="s">
        <v>321</v>
      </c>
      <c r="L286" s="82" t="s">
        <v>322</v>
      </c>
      <c r="M286" s="82" t="s">
        <v>323</v>
      </c>
      <c r="N286" s="82" t="s">
        <v>324</v>
      </c>
      <c r="O286" s="82" t="s">
        <v>325</v>
      </c>
      <c r="P286" s="82" t="s">
        <v>326</v>
      </c>
      <c r="Q286" s="82" t="s">
        <v>327</v>
      </c>
      <c r="R286" s="82" t="s">
        <v>328</v>
      </c>
      <c r="S286" s="82" t="s">
        <v>385</v>
      </c>
      <c r="T286" s="82"/>
      <c r="U286" s="82"/>
      <c r="V286" s="82"/>
      <c r="W286" s="82"/>
      <c r="X286" s="82"/>
      <c r="Y286" s="82"/>
      <c r="Z286" s="82"/>
      <c r="AA286" s="82"/>
      <c r="AB286" s="83" t="s">
        <v>670</v>
      </c>
      <c r="AC286" s="83" t="s">
        <v>672</v>
      </c>
    </row>
    <row r="287" spans="1:29" ht="15" customHeight="1">
      <c r="A287" s="81">
        <v>286</v>
      </c>
      <c r="B287" s="81" t="s">
        <v>663</v>
      </c>
      <c r="C287" s="82" t="s">
        <v>757</v>
      </c>
      <c r="D287" s="82" t="s">
        <v>345</v>
      </c>
      <c r="E287" s="82" t="s">
        <v>349</v>
      </c>
      <c r="F287" s="82" t="s">
        <v>347</v>
      </c>
      <c r="G287" s="82" t="s">
        <v>317</v>
      </c>
      <c r="H287" s="82" t="s">
        <v>318</v>
      </c>
      <c r="I287" s="82" t="s">
        <v>319</v>
      </c>
      <c r="J287" s="82" t="s">
        <v>320</v>
      </c>
      <c r="K287" s="82" t="s">
        <v>321</v>
      </c>
      <c r="L287" s="82" t="s">
        <v>322</v>
      </c>
      <c r="M287" s="82" t="s">
        <v>323</v>
      </c>
      <c r="N287" s="82" t="s">
        <v>324</v>
      </c>
      <c r="O287" s="82" t="s">
        <v>325</v>
      </c>
      <c r="P287" s="82" t="s">
        <v>326</v>
      </c>
      <c r="Q287" s="82" t="s">
        <v>327</v>
      </c>
      <c r="R287" s="82" t="s">
        <v>328</v>
      </c>
      <c r="S287" s="82" t="s">
        <v>329</v>
      </c>
      <c r="T287" s="82"/>
      <c r="U287" s="82"/>
      <c r="V287" s="82"/>
      <c r="W287" s="82"/>
      <c r="X287" s="82"/>
      <c r="Y287" s="82"/>
      <c r="Z287" s="82"/>
      <c r="AA287" s="82"/>
      <c r="AB287" s="83" t="s">
        <v>670</v>
      </c>
      <c r="AC287" s="83" t="s">
        <v>672</v>
      </c>
    </row>
    <row r="288" spans="1:29" ht="15" customHeight="1">
      <c r="A288" s="81">
        <v>287</v>
      </c>
      <c r="B288" s="81" t="s">
        <v>663</v>
      </c>
      <c r="C288" s="82" t="s">
        <v>758</v>
      </c>
      <c r="D288" s="82" t="s">
        <v>345</v>
      </c>
      <c r="E288" s="82" t="s">
        <v>349</v>
      </c>
      <c r="F288" s="82" t="s">
        <v>347</v>
      </c>
      <c r="G288" s="82" t="s">
        <v>317</v>
      </c>
      <c r="H288" s="82" t="s">
        <v>318</v>
      </c>
      <c r="I288" s="82" t="s">
        <v>319</v>
      </c>
      <c r="J288" s="82" t="s">
        <v>320</v>
      </c>
      <c r="K288" s="82" t="s">
        <v>321</v>
      </c>
      <c r="L288" s="82" t="s">
        <v>322</v>
      </c>
      <c r="M288" s="82" t="s">
        <v>323</v>
      </c>
      <c r="N288" s="82" t="s">
        <v>324</v>
      </c>
      <c r="O288" s="82" t="s">
        <v>325</v>
      </c>
      <c r="P288" s="82" t="s">
        <v>326</v>
      </c>
      <c r="Q288" s="82" t="s">
        <v>327</v>
      </c>
      <c r="R288" s="82" t="s">
        <v>328</v>
      </c>
      <c r="S288" s="82" t="s">
        <v>329</v>
      </c>
      <c r="T288" s="82" t="s">
        <v>385</v>
      </c>
      <c r="U288" s="82"/>
      <c r="V288" s="82"/>
      <c r="W288" s="82"/>
      <c r="X288" s="82"/>
      <c r="Y288" s="82"/>
      <c r="Z288" s="82"/>
      <c r="AA288" s="82"/>
      <c r="AB288" s="83" t="s">
        <v>670</v>
      </c>
      <c r="AC288" s="83" t="s">
        <v>672</v>
      </c>
    </row>
    <row r="289" spans="1:29" ht="15" customHeight="1">
      <c r="A289" s="81">
        <v>288</v>
      </c>
      <c r="B289" s="81" t="s">
        <v>663</v>
      </c>
      <c r="C289" s="82" t="s">
        <v>759</v>
      </c>
      <c r="D289" s="82" t="s">
        <v>345</v>
      </c>
      <c r="E289" s="82" t="s">
        <v>349</v>
      </c>
      <c r="F289" s="82" t="s">
        <v>347</v>
      </c>
      <c r="G289" s="82" t="s">
        <v>317</v>
      </c>
      <c r="H289" s="82" t="s">
        <v>318</v>
      </c>
      <c r="I289" s="82" t="s">
        <v>319</v>
      </c>
      <c r="J289" s="82" t="s">
        <v>320</v>
      </c>
      <c r="K289" s="82" t="s">
        <v>321</v>
      </c>
      <c r="L289" s="82" t="s">
        <v>322</v>
      </c>
      <c r="M289" s="82" t="s">
        <v>323</v>
      </c>
      <c r="N289" s="82" t="s">
        <v>324</v>
      </c>
      <c r="O289" s="82" t="s">
        <v>325</v>
      </c>
      <c r="P289" s="82" t="s">
        <v>326</v>
      </c>
      <c r="Q289" s="82" t="s">
        <v>327</v>
      </c>
      <c r="R289" s="82" t="s">
        <v>328</v>
      </c>
      <c r="S289" s="82" t="s">
        <v>329</v>
      </c>
      <c r="T289" s="82" t="s">
        <v>330</v>
      </c>
      <c r="U289" s="82"/>
      <c r="V289" s="82"/>
      <c r="W289" s="82"/>
      <c r="X289" s="82"/>
      <c r="Y289" s="82"/>
      <c r="Z289" s="82"/>
      <c r="AA289" s="82"/>
      <c r="AB289" s="83" t="s">
        <v>670</v>
      </c>
      <c r="AC289" s="83" t="s">
        <v>672</v>
      </c>
    </row>
    <row r="290" spans="1:29" ht="15" customHeight="1">
      <c r="A290" s="81">
        <v>289</v>
      </c>
      <c r="B290" s="81" t="s">
        <v>663</v>
      </c>
      <c r="C290" s="82" t="s">
        <v>760</v>
      </c>
      <c r="D290" s="82" t="s">
        <v>345</v>
      </c>
      <c r="E290" s="82" t="s">
        <v>349</v>
      </c>
      <c r="F290" s="82" t="s">
        <v>347</v>
      </c>
      <c r="G290" s="82" t="s">
        <v>317</v>
      </c>
      <c r="H290" s="82" t="s">
        <v>318</v>
      </c>
      <c r="I290" s="82" t="s">
        <v>319</v>
      </c>
      <c r="J290" s="82" t="s">
        <v>320</v>
      </c>
      <c r="K290" s="82" t="s">
        <v>321</v>
      </c>
      <c r="L290" s="82" t="s">
        <v>322</v>
      </c>
      <c r="M290" s="82" t="s">
        <v>323</v>
      </c>
      <c r="N290" s="82" t="s">
        <v>324</v>
      </c>
      <c r="O290" s="82" t="s">
        <v>325</v>
      </c>
      <c r="P290" s="82" t="s">
        <v>326</v>
      </c>
      <c r="Q290" s="82" t="s">
        <v>327</v>
      </c>
      <c r="R290" s="82" t="s">
        <v>328</v>
      </c>
      <c r="S290" s="82" t="s">
        <v>329</v>
      </c>
      <c r="T290" s="82" t="s">
        <v>330</v>
      </c>
      <c r="U290" s="82" t="s">
        <v>385</v>
      </c>
      <c r="V290" s="82"/>
      <c r="W290" s="82"/>
      <c r="X290" s="82"/>
      <c r="Y290" s="82"/>
      <c r="Z290" s="82"/>
      <c r="AA290" s="82"/>
      <c r="AB290" s="83" t="s">
        <v>670</v>
      </c>
      <c r="AC290" s="83" t="s">
        <v>672</v>
      </c>
    </row>
    <row r="291" spans="1:29" ht="15" customHeight="1">
      <c r="A291" s="81">
        <v>290</v>
      </c>
      <c r="B291" s="81" t="s">
        <v>663</v>
      </c>
      <c r="C291" s="82" t="s">
        <v>761</v>
      </c>
      <c r="D291" s="82" t="s">
        <v>345</v>
      </c>
      <c r="E291" s="82" t="s">
        <v>349</v>
      </c>
      <c r="F291" s="82" t="s">
        <v>347</v>
      </c>
      <c r="G291" s="82" t="s">
        <v>317</v>
      </c>
      <c r="H291" s="82" t="s">
        <v>318</v>
      </c>
      <c r="I291" s="82" t="s">
        <v>319</v>
      </c>
      <c r="J291" s="82" t="s">
        <v>320</v>
      </c>
      <c r="K291" s="82" t="s">
        <v>321</v>
      </c>
      <c r="L291" s="82" t="s">
        <v>322</v>
      </c>
      <c r="M291" s="82" t="s">
        <v>323</v>
      </c>
      <c r="N291" s="82" t="s">
        <v>324</v>
      </c>
      <c r="O291" s="82" t="s">
        <v>325</v>
      </c>
      <c r="P291" s="82" t="s">
        <v>326</v>
      </c>
      <c r="Q291" s="82" t="s">
        <v>327</v>
      </c>
      <c r="R291" s="82" t="s">
        <v>328</v>
      </c>
      <c r="S291" s="82" t="s">
        <v>329</v>
      </c>
      <c r="T291" s="82" t="s">
        <v>330</v>
      </c>
      <c r="U291" s="82" t="s">
        <v>385</v>
      </c>
      <c r="V291" s="82"/>
      <c r="W291" s="82"/>
      <c r="X291" s="82"/>
      <c r="Y291" s="82"/>
      <c r="Z291" s="82"/>
      <c r="AA291" s="82"/>
      <c r="AB291" s="83" t="s">
        <v>670</v>
      </c>
      <c r="AC291" s="83" t="s">
        <v>672</v>
      </c>
    </row>
    <row r="292" spans="1:29" ht="15" customHeight="1">
      <c r="A292" s="81">
        <v>291</v>
      </c>
      <c r="B292" s="81" t="s">
        <v>663</v>
      </c>
      <c r="C292" s="82" t="s">
        <v>762</v>
      </c>
      <c r="D292" s="82" t="s">
        <v>345</v>
      </c>
      <c r="E292" s="82" t="s">
        <v>349</v>
      </c>
      <c r="F292" s="82" t="s">
        <v>347</v>
      </c>
      <c r="G292" s="82" t="s">
        <v>317</v>
      </c>
      <c r="H292" s="82" t="s">
        <v>318</v>
      </c>
      <c r="I292" s="82" t="s">
        <v>319</v>
      </c>
      <c r="J292" s="82" t="s">
        <v>320</v>
      </c>
      <c r="K292" s="82" t="s">
        <v>321</v>
      </c>
      <c r="L292" s="82" t="s">
        <v>322</v>
      </c>
      <c r="M292" s="82" t="s">
        <v>323</v>
      </c>
      <c r="N292" s="82" t="s">
        <v>324</v>
      </c>
      <c r="O292" s="82" t="s">
        <v>325</v>
      </c>
      <c r="P292" s="82" t="s">
        <v>326</v>
      </c>
      <c r="Q292" s="82" t="s">
        <v>327</v>
      </c>
      <c r="R292" s="82" t="s">
        <v>328</v>
      </c>
      <c r="S292" s="82" t="s">
        <v>329</v>
      </c>
      <c r="T292" s="82" t="s">
        <v>330</v>
      </c>
      <c r="U292" s="82" t="s">
        <v>331</v>
      </c>
      <c r="V292" s="82"/>
      <c r="W292" s="82"/>
      <c r="X292" s="82"/>
      <c r="Y292" s="82"/>
      <c r="Z292" s="82"/>
      <c r="AA292" s="82"/>
      <c r="AB292" s="83" t="s">
        <v>670</v>
      </c>
      <c r="AC292" s="83" t="s">
        <v>672</v>
      </c>
    </row>
    <row r="293" spans="1:29" ht="15" customHeight="1">
      <c r="A293" s="81">
        <v>292</v>
      </c>
      <c r="B293" s="81" t="s">
        <v>663</v>
      </c>
      <c r="C293" s="82" t="s">
        <v>763</v>
      </c>
      <c r="D293" s="82" t="s">
        <v>345</v>
      </c>
      <c r="E293" s="82" t="s">
        <v>349</v>
      </c>
      <c r="F293" s="82" t="s">
        <v>347</v>
      </c>
      <c r="G293" s="82" t="s">
        <v>317</v>
      </c>
      <c r="H293" s="82" t="s">
        <v>318</v>
      </c>
      <c r="I293" s="82" t="s">
        <v>319</v>
      </c>
      <c r="J293" s="82" t="s">
        <v>320</v>
      </c>
      <c r="K293" s="82" t="s">
        <v>321</v>
      </c>
      <c r="L293" s="82" t="s">
        <v>322</v>
      </c>
      <c r="M293" s="82" t="s">
        <v>323</v>
      </c>
      <c r="N293" s="82" t="s">
        <v>324</v>
      </c>
      <c r="O293" s="82" t="s">
        <v>325</v>
      </c>
      <c r="P293" s="82" t="s">
        <v>326</v>
      </c>
      <c r="Q293" s="82" t="s">
        <v>327</v>
      </c>
      <c r="R293" s="82" t="s">
        <v>328</v>
      </c>
      <c r="S293" s="82" t="s">
        <v>329</v>
      </c>
      <c r="T293" s="82" t="s">
        <v>330</v>
      </c>
      <c r="U293" s="82" t="s">
        <v>331</v>
      </c>
      <c r="V293" s="82" t="s">
        <v>385</v>
      </c>
      <c r="W293" s="82"/>
      <c r="X293" s="82"/>
      <c r="Y293" s="82"/>
      <c r="Z293" s="82"/>
      <c r="AA293" s="82"/>
      <c r="AB293" s="83" t="s">
        <v>670</v>
      </c>
      <c r="AC293" s="83" t="s">
        <v>672</v>
      </c>
    </row>
    <row r="294" spans="1:29" ht="15" customHeight="1">
      <c r="A294" s="81">
        <v>293</v>
      </c>
      <c r="B294" s="81" t="s">
        <v>663</v>
      </c>
      <c r="C294" s="82" t="s">
        <v>764</v>
      </c>
      <c r="D294" s="82" t="s">
        <v>345</v>
      </c>
      <c r="E294" s="82" t="s">
        <v>349</v>
      </c>
      <c r="F294" s="82" t="s">
        <v>347</v>
      </c>
      <c r="G294" s="82" t="s">
        <v>317</v>
      </c>
      <c r="H294" s="82" t="s">
        <v>318</v>
      </c>
      <c r="I294" s="82" t="s">
        <v>319</v>
      </c>
      <c r="J294" s="82" t="s">
        <v>320</v>
      </c>
      <c r="K294" s="82" t="s">
        <v>321</v>
      </c>
      <c r="L294" s="82" t="s">
        <v>322</v>
      </c>
      <c r="M294" s="82" t="s">
        <v>323</v>
      </c>
      <c r="N294" s="82" t="s">
        <v>324</v>
      </c>
      <c r="O294" s="82" t="s">
        <v>325</v>
      </c>
      <c r="P294" s="82" t="s">
        <v>326</v>
      </c>
      <c r="Q294" s="82" t="s">
        <v>327</v>
      </c>
      <c r="R294" s="82" t="s">
        <v>328</v>
      </c>
      <c r="S294" s="82" t="s">
        <v>329</v>
      </c>
      <c r="T294" s="82" t="s">
        <v>330</v>
      </c>
      <c r="U294" s="82" t="s">
        <v>331</v>
      </c>
      <c r="V294" s="82" t="s">
        <v>385</v>
      </c>
      <c r="W294" s="82"/>
      <c r="X294" s="82"/>
      <c r="Y294" s="82"/>
      <c r="Z294" s="82"/>
      <c r="AA294" s="82"/>
      <c r="AB294" s="83" t="s">
        <v>670</v>
      </c>
      <c r="AC294" s="83" t="s">
        <v>672</v>
      </c>
    </row>
    <row r="295" spans="1:29" ht="15" customHeight="1">
      <c r="A295" s="81">
        <v>294</v>
      </c>
      <c r="B295" s="81" t="s">
        <v>663</v>
      </c>
      <c r="C295" s="82" t="s">
        <v>765</v>
      </c>
      <c r="D295" s="82" t="s">
        <v>345</v>
      </c>
      <c r="E295" s="82" t="s">
        <v>349</v>
      </c>
      <c r="F295" s="82" t="s">
        <v>347</v>
      </c>
      <c r="G295" s="82" t="s">
        <v>317</v>
      </c>
      <c r="H295" s="82" t="s">
        <v>318</v>
      </c>
      <c r="I295" s="82" t="s">
        <v>319</v>
      </c>
      <c r="J295" s="82" t="s">
        <v>320</v>
      </c>
      <c r="K295" s="82" t="s">
        <v>321</v>
      </c>
      <c r="L295" s="82" t="s">
        <v>322</v>
      </c>
      <c r="M295" s="82" t="s">
        <v>323</v>
      </c>
      <c r="N295" s="82" t="s">
        <v>324</v>
      </c>
      <c r="O295" s="82" t="s">
        <v>325</v>
      </c>
      <c r="P295" s="82" t="s">
        <v>326</v>
      </c>
      <c r="Q295" s="82" t="s">
        <v>327</v>
      </c>
      <c r="R295" s="82" t="s">
        <v>328</v>
      </c>
      <c r="S295" s="82" t="s">
        <v>329</v>
      </c>
      <c r="T295" s="82" t="s">
        <v>330</v>
      </c>
      <c r="U295" s="82" t="s">
        <v>331</v>
      </c>
      <c r="V295" s="82" t="s">
        <v>332</v>
      </c>
      <c r="W295" s="82"/>
      <c r="X295" s="82"/>
      <c r="Y295" s="82"/>
      <c r="Z295" s="82"/>
      <c r="AA295" s="82"/>
      <c r="AB295" s="83" t="s">
        <v>670</v>
      </c>
      <c r="AC295" s="83" t="s">
        <v>672</v>
      </c>
    </row>
    <row r="296" spans="1:29" ht="15" customHeight="1">
      <c r="A296" s="81">
        <v>295</v>
      </c>
      <c r="B296" s="81" t="s">
        <v>663</v>
      </c>
      <c r="C296" s="82" t="s">
        <v>766</v>
      </c>
      <c r="D296" s="82" t="s">
        <v>345</v>
      </c>
      <c r="E296" s="82" t="s">
        <v>349</v>
      </c>
      <c r="F296" s="82" t="s">
        <v>347</v>
      </c>
      <c r="G296" s="82" t="s">
        <v>317</v>
      </c>
      <c r="H296" s="82" t="s">
        <v>318</v>
      </c>
      <c r="I296" s="82" t="s">
        <v>319</v>
      </c>
      <c r="J296" s="82" t="s">
        <v>320</v>
      </c>
      <c r="K296" s="82" t="s">
        <v>321</v>
      </c>
      <c r="L296" s="82" t="s">
        <v>322</v>
      </c>
      <c r="M296" s="82" t="s">
        <v>323</v>
      </c>
      <c r="N296" s="82" t="s">
        <v>324</v>
      </c>
      <c r="O296" s="82" t="s">
        <v>325</v>
      </c>
      <c r="P296" s="82" t="s">
        <v>326</v>
      </c>
      <c r="Q296" s="82" t="s">
        <v>327</v>
      </c>
      <c r="R296" s="82" t="s">
        <v>328</v>
      </c>
      <c r="S296" s="82" t="s">
        <v>329</v>
      </c>
      <c r="T296" s="82" t="s">
        <v>330</v>
      </c>
      <c r="U296" s="82" t="s">
        <v>331</v>
      </c>
      <c r="V296" s="82" t="s">
        <v>332</v>
      </c>
      <c r="W296" s="82" t="s">
        <v>385</v>
      </c>
      <c r="X296" s="82"/>
      <c r="Y296" s="82"/>
      <c r="Z296" s="82"/>
      <c r="AA296" s="82"/>
      <c r="AB296" s="83" t="s">
        <v>670</v>
      </c>
      <c r="AC296" s="83" t="s">
        <v>672</v>
      </c>
    </row>
    <row r="297" spans="1:29" ht="15" customHeight="1">
      <c r="A297" s="81">
        <v>296</v>
      </c>
      <c r="B297" s="81" t="s">
        <v>663</v>
      </c>
      <c r="C297" s="82" t="s">
        <v>767</v>
      </c>
      <c r="D297" s="82" t="s">
        <v>345</v>
      </c>
      <c r="E297" s="82" t="s">
        <v>349</v>
      </c>
      <c r="F297" s="82" t="s">
        <v>347</v>
      </c>
      <c r="G297" s="82" t="s">
        <v>317</v>
      </c>
      <c r="H297" s="82" t="s">
        <v>318</v>
      </c>
      <c r="I297" s="82" t="s">
        <v>319</v>
      </c>
      <c r="J297" s="82" t="s">
        <v>320</v>
      </c>
      <c r="K297" s="82" t="s">
        <v>321</v>
      </c>
      <c r="L297" s="82" t="s">
        <v>322</v>
      </c>
      <c r="M297" s="82" t="s">
        <v>323</v>
      </c>
      <c r="N297" s="82" t="s">
        <v>324</v>
      </c>
      <c r="O297" s="82" t="s">
        <v>325</v>
      </c>
      <c r="P297" s="82" t="s">
        <v>326</v>
      </c>
      <c r="Q297" s="82" t="s">
        <v>327</v>
      </c>
      <c r="R297" s="82" t="s">
        <v>328</v>
      </c>
      <c r="S297" s="82" t="s">
        <v>329</v>
      </c>
      <c r="T297" s="82" t="s">
        <v>330</v>
      </c>
      <c r="U297" s="82" t="s">
        <v>331</v>
      </c>
      <c r="V297" s="82" t="s">
        <v>332</v>
      </c>
      <c r="W297" s="82" t="s">
        <v>385</v>
      </c>
      <c r="X297" s="82"/>
      <c r="Y297" s="82"/>
      <c r="Z297" s="82"/>
      <c r="AA297" s="82"/>
      <c r="AB297" s="83" t="s">
        <v>670</v>
      </c>
      <c r="AC297" s="83" t="s">
        <v>672</v>
      </c>
    </row>
    <row r="298" spans="1:29" ht="15" customHeight="1">
      <c r="A298" s="81">
        <v>297</v>
      </c>
      <c r="B298" s="81" t="s">
        <v>663</v>
      </c>
      <c r="C298" s="82" t="s">
        <v>768</v>
      </c>
      <c r="D298" s="82" t="s">
        <v>345</v>
      </c>
      <c r="E298" s="82" t="s">
        <v>349</v>
      </c>
      <c r="F298" s="82" t="s">
        <v>347</v>
      </c>
      <c r="G298" s="82" t="s">
        <v>317</v>
      </c>
      <c r="H298" s="82" t="s">
        <v>318</v>
      </c>
      <c r="I298" s="82" t="s">
        <v>319</v>
      </c>
      <c r="J298" s="82" t="s">
        <v>320</v>
      </c>
      <c r="K298" s="82" t="s">
        <v>321</v>
      </c>
      <c r="L298" s="82" t="s">
        <v>322</v>
      </c>
      <c r="M298" s="82" t="s">
        <v>323</v>
      </c>
      <c r="N298" s="82" t="s">
        <v>324</v>
      </c>
      <c r="O298" s="82" t="s">
        <v>325</v>
      </c>
      <c r="P298" s="82" t="s">
        <v>326</v>
      </c>
      <c r="Q298" s="82" t="s">
        <v>327</v>
      </c>
      <c r="R298" s="82" t="s">
        <v>328</v>
      </c>
      <c r="S298" s="82" t="s">
        <v>329</v>
      </c>
      <c r="T298" s="82" t="s">
        <v>330</v>
      </c>
      <c r="U298" s="82" t="s">
        <v>331</v>
      </c>
      <c r="V298" s="82" t="s">
        <v>332</v>
      </c>
      <c r="W298" s="82" t="s">
        <v>333</v>
      </c>
      <c r="X298" s="82"/>
      <c r="Y298" s="82"/>
      <c r="Z298" s="82"/>
      <c r="AA298" s="82"/>
      <c r="AB298" s="83" t="s">
        <v>670</v>
      </c>
      <c r="AC298" s="83" t="s">
        <v>672</v>
      </c>
    </row>
    <row r="299" spans="1:29" ht="15" customHeight="1">
      <c r="A299" s="81">
        <v>298</v>
      </c>
      <c r="B299" s="81" t="s">
        <v>663</v>
      </c>
      <c r="C299" s="82" t="s">
        <v>769</v>
      </c>
      <c r="D299" s="82" t="s">
        <v>345</v>
      </c>
      <c r="E299" s="82" t="s">
        <v>349</v>
      </c>
      <c r="F299" s="82" t="s">
        <v>347</v>
      </c>
      <c r="G299" s="82" t="s">
        <v>317</v>
      </c>
      <c r="H299" s="82" t="s">
        <v>318</v>
      </c>
      <c r="I299" s="82" t="s">
        <v>319</v>
      </c>
      <c r="J299" s="82" t="s">
        <v>320</v>
      </c>
      <c r="K299" s="82" t="s">
        <v>321</v>
      </c>
      <c r="L299" s="82" t="s">
        <v>322</v>
      </c>
      <c r="M299" s="82" t="s">
        <v>323</v>
      </c>
      <c r="N299" s="82" t="s">
        <v>324</v>
      </c>
      <c r="O299" s="82" t="s">
        <v>325</v>
      </c>
      <c r="P299" s="82" t="s">
        <v>326</v>
      </c>
      <c r="Q299" s="82" t="s">
        <v>327</v>
      </c>
      <c r="R299" s="82" t="s">
        <v>328</v>
      </c>
      <c r="S299" s="82" t="s">
        <v>329</v>
      </c>
      <c r="T299" s="82" t="s">
        <v>330</v>
      </c>
      <c r="U299" s="82" t="s">
        <v>331</v>
      </c>
      <c r="V299" s="82" t="s">
        <v>332</v>
      </c>
      <c r="W299" s="82" t="s">
        <v>333</v>
      </c>
      <c r="X299" s="82" t="s">
        <v>385</v>
      </c>
      <c r="Y299" s="82"/>
      <c r="Z299" s="82"/>
      <c r="AA299" s="82"/>
      <c r="AB299" s="83" t="s">
        <v>670</v>
      </c>
      <c r="AC299" s="83" t="s">
        <v>672</v>
      </c>
    </row>
    <row r="300" spans="1:29" ht="15" customHeight="1">
      <c r="A300" s="81">
        <v>299</v>
      </c>
      <c r="B300" s="81" t="s">
        <v>663</v>
      </c>
      <c r="C300" s="82" t="s">
        <v>770</v>
      </c>
      <c r="D300" s="82" t="s">
        <v>345</v>
      </c>
      <c r="E300" s="82" t="s">
        <v>349</v>
      </c>
      <c r="F300" s="82" t="s">
        <v>347</v>
      </c>
      <c r="G300" s="82" t="s">
        <v>317</v>
      </c>
      <c r="H300" s="82" t="s">
        <v>318</v>
      </c>
      <c r="I300" s="82" t="s">
        <v>319</v>
      </c>
      <c r="J300" s="82" t="s">
        <v>320</v>
      </c>
      <c r="K300" s="82" t="s">
        <v>321</v>
      </c>
      <c r="L300" s="82" t="s">
        <v>322</v>
      </c>
      <c r="M300" s="82" t="s">
        <v>323</v>
      </c>
      <c r="N300" s="82" t="s">
        <v>324</v>
      </c>
      <c r="O300" s="82" t="s">
        <v>325</v>
      </c>
      <c r="P300" s="82" t="s">
        <v>326</v>
      </c>
      <c r="Q300" s="82" t="s">
        <v>327</v>
      </c>
      <c r="R300" s="82" t="s">
        <v>328</v>
      </c>
      <c r="S300" s="82" t="s">
        <v>329</v>
      </c>
      <c r="T300" s="82" t="s">
        <v>330</v>
      </c>
      <c r="U300" s="82" t="s">
        <v>331</v>
      </c>
      <c r="V300" s="82" t="s">
        <v>332</v>
      </c>
      <c r="W300" s="82" t="s">
        <v>333</v>
      </c>
      <c r="X300" s="82" t="s">
        <v>385</v>
      </c>
      <c r="Y300" s="82"/>
      <c r="Z300" s="82"/>
      <c r="AA300" s="82"/>
      <c r="AB300" s="83" t="s">
        <v>670</v>
      </c>
      <c r="AC300" s="83" t="s">
        <v>672</v>
      </c>
    </row>
    <row r="301" spans="1:29" ht="15" customHeight="1">
      <c r="A301" s="81">
        <v>300</v>
      </c>
      <c r="B301" s="81" t="s">
        <v>663</v>
      </c>
      <c r="C301" s="82" t="s">
        <v>771</v>
      </c>
      <c r="D301" s="82" t="s">
        <v>345</v>
      </c>
      <c r="E301" s="82" t="s">
        <v>349</v>
      </c>
      <c r="F301" s="82" t="s">
        <v>347</v>
      </c>
      <c r="G301" s="82" t="s">
        <v>317</v>
      </c>
      <c r="H301" s="82" t="s">
        <v>318</v>
      </c>
      <c r="I301" s="82" t="s">
        <v>319</v>
      </c>
      <c r="J301" s="82" t="s">
        <v>320</v>
      </c>
      <c r="K301" s="82" t="s">
        <v>321</v>
      </c>
      <c r="L301" s="82" t="s">
        <v>322</v>
      </c>
      <c r="M301" s="82" t="s">
        <v>323</v>
      </c>
      <c r="N301" s="82" t="s">
        <v>324</v>
      </c>
      <c r="O301" s="82" t="s">
        <v>325</v>
      </c>
      <c r="P301" s="82" t="s">
        <v>326</v>
      </c>
      <c r="Q301" s="82" t="s">
        <v>327</v>
      </c>
      <c r="R301" s="82" t="s">
        <v>328</v>
      </c>
      <c r="S301" s="82" t="s">
        <v>329</v>
      </c>
      <c r="T301" s="82" t="s">
        <v>330</v>
      </c>
      <c r="U301" s="82" t="s">
        <v>331</v>
      </c>
      <c r="V301" s="82" t="s">
        <v>332</v>
      </c>
      <c r="W301" s="82" t="s">
        <v>333</v>
      </c>
      <c r="X301" s="82" t="s">
        <v>334</v>
      </c>
      <c r="Y301" s="82"/>
      <c r="Z301" s="82"/>
      <c r="AA301" s="82"/>
      <c r="AB301" s="83" t="s">
        <v>670</v>
      </c>
      <c r="AC301" s="83" t="s">
        <v>672</v>
      </c>
    </row>
    <row r="302" spans="1:29" ht="15" customHeight="1">
      <c r="A302" s="81">
        <v>301</v>
      </c>
      <c r="B302" s="81" t="s">
        <v>663</v>
      </c>
      <c r="C302" s="82" t="s">
        <v>772</v>
      </c>
      <c r="D302" s="82" t="s">
        <v>345</v>
      </c>
      <c r="E302" s="82" t="s">
        <v>349</v>
      </c>
      <c r="F302" s="82" t="s">
        <v>347</v>
      </c>
      <c r="G302" s="82" t="s">
        <v>317</v>
      </c>
      <c r="H302" s="82" t="s">
        <v>318</v>
      </c>
      <c r="I302" s="82" t="s">
        <v>319</v>
      </c>
      <c r="J302" s="82" t="s">
        <v>320</v>
      </c>
      <c r="K302" s="82" t="s">
        <v>321</v>
      </c>
      <c r="L302" s="82" t="s">
        <v>322</v>
      </c>
      <c r="M302" s="82" t="s">
        <v>323</v>
      </c>
      <c r="N302" s="82" t="s">
        <v>324</v>
      </c>
      <c r="O302" s="82" t="s">
        <v>325</v>
      </c>
      <c r="P302" s="82" t="s">
        <v>326</v>
      </c>
      <c r="Q302" s="82" t="s">
        <v>327</v>
      </c>
      <c r="R302" s="82" t="s">
        <v>328</v>
      </c>
      <c r="S302" s="82" t="s">
        <v>329</v>
      </c>
      <c r="T302" s="82" t="s">
        <v>330</v>
      </c>
      <c r="U302" s="82" t="s">
        <v>331</v>
      </c>
      <c r="V302" s="82" t="s">
        <v>332</v>
      </c>
      <c r="W302" s="82" t="s">
        <v>333</v>
      </c>
      <c r="X302" s="82" t="s">
        <v>334</v>
      </c>
      <c r="Y302" s="82" t="s">
        <v>385</v>
      </c>
      <c r="Z302" s="82"/>
      <c r="AA302" s="82"/>
      <c r="AB302" s="83" t="s">
        <v>670</v>
      </c>
      <c r="AC302" s="83" t="s">
        <v>672</v>
      </c>
    </row>
    <row r="303" spans="1:29" ht="15" customHeight="1">
      <c r="A303" s="81">
        <v>302</v>
      </c>
      <c r="B303" s="81" t="s">
        <v>663</v>
      </c>
      <c r="C303" s="82" t="s">
        <v>773</v>
      </c>
      <c r="D303" s="82" t="s">
        <v>345</v>
      </c>
      <c r="E303" s="82" t="s">
        <v>349</v>
      </c>
      <c r="F303" s="82" t="s">
        <v>347</v>
      </c>
      <c r="G303" s="82" t="s">
        <v>317</v>
      </c>
      <c r="H303" s="82" t="s">
        <v>318</v>
      </c>
      <c r="I303" s="82" t="s">
        <v>319</v>
      </c>
      <c r="J303" s="82" t="s">
        <v>320</v>
      </c>
      <c r="K303" s="82" t="s">
        <v>321</v>
      </c>
      <c r="L303" s="82" t="s">
        <v>322</v>
      </c>
      <c r="M303" s="82" t="s">
        <v>323</v>
      </c>
      <c r="N303" s="82" t="s">
        <v>324</v>
      </c>
      <c r="O303" s="82" t="s">
        <v>325</v>
      </c>
      <c r="P303" s="82" t="s">
        <v>326</v>
      </c>
      <c r="Q303" s="82" t="s">
        <v>327</v>
      </c>
      <c r="R303" s="82" t="s">
        <v>328</v>
      </c>
      <c r="S303" s="82" t="s">
        <v>329</v>
      </c>
      <c r="T303" s="82" t="s">
        <v>330</v>
      </c>
      <c r="U303" s="82" t="s">
        <v>331</v>
      </c>
      <c r="V303" s="82" t="s">
        <v>332</v>
      </c>
      <c r="W303" s="82" t="s">
        <v>333</v>
      </c>
      <c r="X303" s="82" t="s">
        <v>334</v>
      </c>
      <c r="Y303" s="82" t="s">
        <v>385</v>
      </c>
      <c r="Z303" s="82"/>
      <c r="AA303" s="82"/>
      <c r="AB303" s="83" t="s">
        <v>670</v>
      </c>
      <c r="AC303" s="83" t="s">
        <v>672</v>
      </c>
    </row>
    <row r="304" spans="1:29" ht="15" customHeight="1">
      <c r="A304" s="81">
        <v>303</v>
      </c>
      <c r="B304" s="81" t="s">
        <v>663</v>
      </c>
      <c r="C304" s="82" t="s">
        <v>774</v>
      </c>
      <c r="D304" s="82" t="s">
        <v>345</v>
      </c>
      <c r="E304" s="82" t="s">
        <v>349</v>
      </c>
      <c r="F304" s="82" t="s">
        <v>347</v>
      </c>
      <c r="G304" s="82" t="s">
        <v>317</v>
      </c>
      <c r="H304" s="82" t="s">
        <v>318</v>
      </c>
      <c r="I304" s="82" t="s">
        <v>319</v>
      </c>
      <c r="J304" s="82" t="s">
        <v>320</v>
      </c>
      <c r="K304" s="82" t="s">
        <v>321</v>
      </c>
      <c r="L304" s="82" t="s">
        <v>322</v>
      </c>
      <c r="M304" s="82" t="s">
        <v>323</v>
      </c>
      <c r="N304" s="82" t="s">
        <v>324</v>
      </c>
      <c r="O304" s="82" t="s">
        <v>325</v>
      </c>
      <c r="P304" s="82" t="s">
        <v>326</v>
      </c>
      <c r="Q304" s="82" t="s">
        <v>327</v>
      </c>
      <c r="R304" s="82" t="s">
        <v>328</v>
      </c>
      <c r="S304" s="82" t="s">
        <v>329</v>
      </c>
      <c r="T304" s="82" t="s">
        <v>330</v>
      </c>
      <c r="U304" s="82" t="s">
        <v>331</v>
      </c>
      <c r="V304" s="82" t="s">
        <v>332</v>
      </c>
      <c r="W304" s="82" t="s">
        <v>333</v>
      </c>
      <c r="X304" s="82" t="s">
        <v>334</v>
      </c>
      <c r="Y304" s="82" t="s">
        <v>335</v>
      </c>
      <c r="Z304" s="82"/>
      <c r="AA304" s="82"/>
      <c r="AB304" s="83" t="s">
        <v>670</v>
      </c>
      <c r="AC304" s="83" t="s">
        <v>672</v>
      </c>
    </row>
    <row r="305" spans="1:29" ht="15" customHeight="1">
      <c r="A305" s="81">
        <v>304</v>
      </c>
      <c r="B305" s="81" t="s">
        <v>663</v>
      </c>
      <c r="C305" s="82" t="s">
        <v>775</v>
      </c>
      <c r="D305" s="82" t="s">
        <v>345</v>
      </c>
      <c r="E305" s="82" t="s">
        <v>349</v>
      </c>
      <c r="F305" s="82" t="s">
        <v>347</v>
      </c>
      <c r="G305" s="82" t="s">
        <v>317</v>
      </c>
      <c r="H305" s="82" t="s">
        <v>318</v>
      </c>
      <c r="I305" s="82" t="s">
        <v>319</v>
      </c>
      <c r="J305" s="82" t="s">
        <v>320</v>
      </c>
      <c r="K305" s="82" t="s">
        <v>321</v>
      </c>
      <c r="L305" s="82" t="s">
        <v>322</v>
      </c>
      <c r="M305" s="82" t="s">
        <v>323</v>
      </c>
      <c r="N305" s="82" t="s">
        <v>324</v>
      </c>
      <c r="O305" s="82" t="s">
        <v>325</v>
      </c>
      <c r="P305" s="82" t="s">
        <v>326</v>
      </c>
      <c r="Q305" s="82" t="s">
        <v>327</v>
      </c>
      <c r="R305" s="82" t="s">
        <v>328</v>
      </c>
      <c r="S305" s="82" t="s">
        <v>329</v>
      </c>
      <c r="T305" s="82" t="s">
        <v>330</v>
      </c>
      <c r="U305" s="82" t="s">
        <v>331</v>
      </c>
      <c r="V305" s="82" t="s">
        <v>332</v>
      </c>
      <c r="W305" s="82" t="s">
        <v>333</v>
      </c>
      <c r="X305" s="82" t="s">
        <v>334</v>
      </c>
      <c r="Y305" s="82" t="s">
        <v>335</v>
      </c>
      <c r="Z305" s="82" t="s">
        <v>385</v>
      </c>
      <c r="AA305" s="82"/>
      <c r="AB305" s="83" t="s">
        <v>670</v>
      </c>
      <c r="AC305" s="83" t="s">
        <v>672</v>
      </c>
    </row>
    <row r="306" spans="1:29" ht="15" customHeight="1">
      <c r="A306" s="81">
        <v>305</v>
      </c>
      <c r="B306" s="81" t="s">
        <v>663</v>
      </c>
      <c r="C306" s="82" t="s">
        <v>776</v>
      </c>
      <c r="D306" s="82" t="s">
        <v>345</v>
      </c>
      <c r="E306" s="82" t="s">
        <v>349</v>
      </c>
      <c r="F306" s="82" t="s">
        <v>347</v>
      </c>
      <c r="G306" s="82" t="s">
        <v>317</v>
      </c>
      <c r="H306" s="82" t="s">
        <v>318</v>
      </c>
      <c r="I306" s="82" t="s">
        <v>319</v>
      </c>
      <c r="J306" s="82" t="s">
        <v>320</v>
      </c>
      <c r="K306" s="82" t="s">
        <v>321</v>
      </c>
      <c r="L306" s="82" t="s">
        <v>322</v>
      </c>
      <c r="M306" s="82" t="s">
        <v>323</v>
      </c>
      <c r="N306" s="82" t="s">
        <v>324</v>
      </c>
      <c r="O306" s="82" t="s">
        <v>325</v>
      </c>
      <c r="P306" s="82" t="s">
        <v>326</v>
      </c>
      <c r="Q306" s="82" t="s">
        <v>327</v>
      </c>
      <c r="R306" s="82" t="s">
        <v>328</v>
      </c>
      <c r="S306" s="82" t="s">
        <v>329</v>
      </c>
      <c r="T306" s="82" t="s">
        <v>330</v>
      </c>
      <c r="U306" s="82" t="s">
        <v>331</v>
      </c>
      <c r="V306" s="82" t="s">
        <v>332</v>
      </c>
      <c r="W306" s="82" t="s">
        <v>333</v>
      </c>
      <c r="X306" s="82" t="s">
        <v>334</v>
      </c>
      <c r="Y306" s="82" t="s">
        <v>335</v>
      </c>
      <c r="Z306" s="82" t="s">
        <v>385</v>
      </c>
      <c r="AA306" s="82"/>
      <c r="AB306" s="83" t="s">
        <v>670</v>
      </c>
      <c r="AC306" s="83" t="s">
        <v>672</v>
      </c>
    </row>
    <row r="307" spans="1:29" ht="15" customHeight="1">
      <c r="A307" s="81">
        <v>306</v>
      </c>
      <c r="B307" s="81" t="s">
        <v>663</v>
      </c>
      <c r="C307" s="82" t="s">
        <v>777</v>
      </c>
      <c r="D307" s="82" t="s">
        <v>345</v>
      </c>
      <c r="E307" s="82" t="s">
        <v>349</v>
      </c>
      <c r="F307" s="82" t="s">
        <v>347</v>
      </c>
      <c r="G307" s="82" t="s">
        <v>317</v>
      </c>
      <c r="H307" s="82" t="s">
        <v>318</v>
      </c>
      <c r="I307" s="82" t="s">
        <v>319</v>
      </c>
      <c r="J307" s="82" t="s">
        <v>320</v>
      </c>
      <c r="K307" s="82" t="s">
        <v>321</v>
      </c>
      <c r="L307" s="82" t="s">
        <v>322</v>
      </c>
      <c r="M307" s="82" t="s">
        <v>323</v>
      </c>
      <c r="N307" s="82" t="s">
        <v>324</v>
      </c>
      <c r="O307" s="82" t="s">
        <v>325</v>
      </c>
      <c r="P307" s="82" t="s">
        <v>326</v>
      </c>
      <c r="Q307" s="82" t="s">
        <v>327</v>
      </c>
      <c r="R307" s="82" t="s">
        <v>328</v>
      </c>
      <c r="S307" s="82" t="s">
        <v>329</v>
      </c>
      <c r="T307" s="82" t="s">
        <v>330</v>
      </c>
      <c r="U307" s="82" t="s">
        <v>331</v>
      </c>
      <c r="V307" s="82" t="s">
        <v>332</v>
      </c>
      <c r="W307" s="82" t="s">
        <v>333</v>
      </c>
      <c r="X307" s="82" t="s">
        <v>334</v>
      </c>
      <c r="Y307" s="82" t="s">
        <v>335</v>
      </c>
      <c r="Z307" s="82" t="s">
        <v>336</v>
      </c>
      <c r="AA307" s="82"/>
      <c r="AB307" s="83" t="s">
        <v>670</v>
      </c>
      <c r="AC307" s="83" t="s">
        <v>672</v>
      </c>
    </row>
    <row r="308" spans="1:29" ht="15" customHeight="1">
      <c r="A308" s="81">
        <v>307</v>
      </c>
      <c r="B308" s="81" t="s">
        <v>663</v>
      </c>
      <c r="C308" s="82" t="s">
        <v>778</v>
      </c>
      <c r="D308" s="82" t="s">
        <v>345</v>
      </c>
      <c r="E308" s="82" t="s">
        <v>349</v>
      </c>
      <c r="F308" s="82" t="s">
        <v>347</v>
      </c>
      <c r="G308" s="82" t="s">
        <v>317</v>
      </c>
      <c r="H308" s="82" t="s">
        <v>318</v>
      </c>
      <c r="I308" s="82" t="s">
        <v>319</v>
      </c>
      <c r="J308" s="82" t="s">
        <v>320</v>
      </c>
      <c r="K308" s="82" t="s">
        <v>321</v>
      </c>
      <c r="L308" s="82" t="s">
        <v>322</v>
      </c>
      <c r="M308" s="82" t="s">
        <v>323</v>
      </c>
      <c r="N308" s="82" t="s">
        <v>324</v>
      </c>
      <c r="O308" s="82" t="s">
        <v>325</v>
      </c>
      <c r="P308" s="82" t="s">
        <v>326</v>
      </c>
      <c r="Q308" s="82" t="s">
        <v>327</v>
      </c>
      <c r="R308" s="82" t="s">
        <v>328</v>
      </c>
      <c r="S308" s="82" t="s">
        <v>329</v>
      </c>
      <c r="T308" s="82" t="s">
        <v>330</v>
      </c>
      <c r="U308" s="82" t="s">
        <v>331</v>
      </c>
      <c r="V308" s="82" t="s">
        <v>332</v>
      </c>
      <c r="W308" s="82" t="s">
        <v>333</v>
      </c>
      <c r="X308" s="82" t="s">
        <v>334</v>
      </c>
      <c r="Y308" s="82" t="s">
        <v>335</v>
      </c>
      <c r="Z308" s="82" t="s">
        <v>336</v>
      </c>
      <c r="AA308" s="82" t="s">
        <v>385</v>
      </c>
      <c r="AB308" s="83" t="s">
        <v>670</v>
      </c>
      <c r="AC308" s="83" t="s">
        <v>672</v>
      </c>
    </row>
    <row r="309" spans="1:29" ht="15" customHeight="1">
      <c r="A309" s="81">
        <v>308</v>
      </c>
      <c r="B309" s="81" t="s">
        <v>663</v>
      </c>
      <c r="C309" s="82" t="s">
        <v>779</v>
      </c>
      <c r="D309" s="82" t="s">
        <v>345</v>
      </c>
      <c r="E309" s="82" t="s">
        <v>349</v>
      </c>
      <c r="F309" s="82" t="s">
        <v>347</v>
      </c>
      <c r="G309" s="82" t="s">
        <v>317</v>
      </c>
      <c r="H309" s="82" t="s">
        <v>318</v>
      </c>
      <c r="I309" s="82" t="s">
        <v>319</v>
      </c>
      <c r="J309" s="82" t="s">
        <v>320</v>
      </c>
      <c r="K309" s="82" t="s">
        <v>321</v>
      </c>
      <c r="L309" s="82" t="s">
        <v>322</v>
      </c>
      <c r="M309" s="82" t="s">
        <v>323</v>
      </c>
      <c r="N309" s="82" t="s">
        <v>324</v>
      </c>
      <c r="O309" s="82" t="s">
        <v>325</v>
      </c>
      <c r="P309" s="82" t="s">
        <v>326</v>
      </c>
      <c r="Q309" s="82" t="s">
        <v>327</v>
      </c>
      <c r="R309" s="82" t="s">
        <v>328</v>
      </c>
      <c r="S309" s="82" t="s">
        <v>329</v>
      </c>
      <c r="T309" s="82" t="s">
        <v>330</v>
      </c>
      <c r="U309" s="82" t="s">
        <v>331</v>
      </c>
      <c r="V309" s="82" t="s">
        <v>332</v>
      </c>
      <c r="W309" s="82" t="s">
        <v>333</v>
      </c>
      <c r="X309" s="82" t="s">
        <v>334</v>
      </c>
      <c r="Y309" s="82" t="s">
        <v>335</v>
      </c>
      <c r="Z309" s="82" t="s">
        <v>336</v>
      </c>
      <c r="AA309" s="82" t="s">
        <v>385</v>
      </c>
      <c r="AB309" s="83" t="s">
        <v>670</v>
      </c>
      <c r="AC309" s="83" t="s">
        <v>672</v>
      </c>
    </row>
    <row r="310" spans="1:29" ht="15" customHeight="1">
      <c r="A310" s="81">
        <v>309</v>
      </c>
      <c r="B310" s="81" t="s">
        <v>663</v>
      </c>
      <c r="C310" s="82" t="s">
        <v>780</v>
      </c>
      <c r="D310" s="82" t="s">
        <v>345</v>
      </c>
      <c r="E310" s="82" t="s">
        <v>349</v>
      </c>
      <c r="F310" s="82" t="s">
        <v>347</v>
      </c>
      <c r="G310" s="82" t="s">
        <v>317</v>
      </c>
      <c r="H310" s="82" t="s">
        <v>318</v>
      </c>
      <c r="I310" s="82" t="s">
        <v>319</v>
      </c>
      <c r="J310" s="82" t="s">
        <v>320</v>
      </c>
      <c r="K310" s="82" t="s">
        <v>321</v>
      </c>
      <c r="L310" s="82" t="s">
        <v>322</v>
      </c>
      <c r="M310" s="82" t="s">
        <v>323</v>
      </c>
      <c r="N310" s="82" t="s">
        <v>324</v>
      </c>
      <c r="O310" s="82" t="s">
        <v>325</v>
      </c>
      <c r="P310" s="82" t="s">
        <v>326</v>
      </c>
      <c r="Q310" s="82" t="s">
        <v>327</v>
      </c>
      <c r="R310" s="82" t="s">
        <v>328</v>
      </c>
      <c r="S310" s="82" t="s">
        <v>329</v>
      </c>
      <c r="T310" s="82" t="s">
        <v>330</v>
      </c>
      <c r="U310" s="82" t="s">
        <v>331</v>
      </c>
      <c r="V310" s="82" t="s">
        <v>332</v>
      </c>
      <c r="W310" s="82" t="s">
        <v>333</v>
      </c>
      <c r="X310" s="82" t="s">
        <v>334</v>
      </c>
      <c r="Y310" s="82" t="s">
        <v>335</v>
      </c>
      <c r="Z310" s="82" t="s">
        <v>336</v>
      </c>
      <c r="AA310" s="82" t="s">
        <v>337</v>
      </c>
      <c r="AB310" s="83" t="s">
        <v>670</v>
      </c>
      <c r="AC310" s="83" t="s">
        <v>672</v>
      </c>
    </row>
    <row r="311" spans="1:29" ht="15" customHeight="1">
      <c r="A311" s="81">
        <v>310</v>
      </c>
      <c r="B311" s="81" t="s">
        <v>663</v>
      </c>
      <c r="C311" s="82" t="s">
        <v>781</v>
      </c>
      <c r="D311" s="82" t="s">
        <v>344</v>
      </c>
      <c r="E311" s="82" t="s">
        <v>345</v>
      </c>
      <c r="F311" s="82" t="s">
        <v>349</v>
      </c>
      <c r="G311" s="82" t="s">
        <v>347</v>
      </c>
      <c r="H311" s="82" t="s">
        <v>385</v>
      </c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3" t="s">
        <v>670</v>
      </c>
      <c r="AC311" s="83" t="s">
        <v>672</v>
      </c>
    </row>
    <row r="312" spans="1:29" ht="15" customHeight="1">
      <c r="A312" s="81">
        <v>311</v>
      </c>
      <c r="B312" s="81" t="s">
        <v>663</v>
      </c>
      <c r="C312" s="82" t="s">
        <v>782</v>
      </c>
      <c r="D312" s="82" t="s">
        <v>344</v>
      </c>
      <c r="E312" s="82" t="s">
        <v>345</v>
      </c>
      <c r="F312" s="82" t="s">
        <v>349</v>
      </c>
      <c r="G312" s="82" t="s">
        <v>347</v>
      </c>
      <c r="H312" s="82" t="s">
        <v>385</v>
      </c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3" t="s">
        <v>670</v>
      </c>
      <c r="AC312" s="83" t="s">
        <v>672</v>
      </c>
    </row>
    <row r="313" spans="1:29" ht="15" customHeight="1">
      <c r="A313" s="81">
        <v>312</v>
      </c>
      <c r="B313" s="81" t="s">
        <v>663</v>
      </c>
      <c r="C313" s="82" t="s">
        <v>783</v>
      </c>
      <c r="D313" s="82" t="s">
        <v>344</v>
      </c>
      <c r="E313" s="82" t="s">
        <v>345</v>
      </c>
      <c r="F313" s="82" t="s">
        <v>349</v>
      </c>
      <c r="G313" s="82" t="s">
        <v>347</v>
      </c>
      <c r="H313" s="82" t="s">
        <v>317</v>
      </c>
      <c r="I313" s="82" t="s">
        <v>385</v>
      </c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3" t="s">
        <v>670</v>
      </c>
      <c r="AC313" s="83" t="s">
        <v>672</v>
      </c>
    </row>
    <row r="314" spans="1:29" ht="15" customHeight="1">
      <c r="A314" s="81">
        <v>313</v>
      </c>
      <c r="B314" s="81" t="s">
        <v>663</v>
      </c>
      <c r="C314" s="82" t="s">
        <v>784</v>
      </c>
      <c r="D314" s="82" t="s">
        <v>344</v>
      </c>
      <c r="E314" s="82" t="s">
        <v>345</v>
      </c>
      <c r="F314" s="82" t="s">
        <v>349</v>
      </c>
      <c r="G314" s="82" t="s">
        <v>347</v>
      </c>
      <c r="H314" s="82" t="s">
        <v>317</v>
      </c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3" t="s">
        <v>670</v>
      </c>
      <c r="AC314" s="83" t="s">
        <v>672</v>
      </c>
    </row>
    <row r="315" spans="1:29" ht="15" customHeight="1">
      <c r="A315" s="81">
        <v>314</v>
      </c>
      <c r="B315" s="81" t="s">
        <v>663</v>
      </c>
      <c r="C315" s="82" t="s">
        <v>785</v>
      </c>
      <c r="D315" s="82" t="s">
        <v>344</v>
      </c>
      <c r="E315" s="82" t="s">
        <v>345</v>
      </c>
      <c r="F315" s="82" t="s">
        <v>349</v>
      </c>
      <c r="G315" s="82" t="s">
        <v>347</v>
      </c>
      <c r="H315" s="82" t="s">
        <v>317</v>
      </c>
      <c r="I315" s="82" t="s">
        <v>385</v>
      </c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3" t="s">
        <v>670</v>
      </c>
      <c r="AC315" s="83" t="s">
        <v>672</v>
      </c>
    </row>
    <row r="316" spans="1:29" ht="15" customHeight="1">
      <c r="A316" s="81">
        <v>315</v>
      </c>
      <c r="B316" s="81" t="s">
        <v>663</v>
      </c>
      <c r="C316" s="82" t="s">
        <v>786</v>
      </c>
      <c r="D316" s="82" t="s">
        <v>344</v>
      </c>
      <c r="E316" s="82" t="s">
        <v>345</v>
      </c>
      <c r="F316" s="82" t="s">
        <v>349</v>
      </c>
      <c r="G316" s="82" t="s">
        <v>347</v>
      </c>
      <c r="H316" s="82" t="s">
        <v>317</v>
      </c>
      <c r="I316" s="82" t="s">
        <v>318</v>
      </c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3" t="s">
        <v>670</v>
      </c>
      <c r="AC316" s="83" t="s">
        <v>672</v>
      </c>
    </row>
    <row r="317" spans="1:29" ht="15" customHeight="1">
      <c r="A317" s="81">
        <v>316</v>
      </c>
      <c r="B317" s="81" t="s">
        <v>663</v>
      </c>
      <c r="C317" s="82" t="s">
        <v>787</v>
      </c>
      <c r="D317" s="82" t="s">
        <v>344</v>
      </c>
      <c r="E317" s="82" t="s">
        <v>345</v>
      </c>
      <c r="F317" s="82" t="s">
        <v>349</v>
      </c>
      <c r="G317" s="82" t="s">
        <v>347</v>
      </c>
      <c r="H317" s="82" t="s">
        <v>317</v>
      </c>
      <c r="I317" s="82" t="s">
        <v>318</v>
      </c>
      <c r="J317" s="82" t="s">
        <v>385</v>
      </c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3" t="s">
        <v>670</v>
      </c>
      <c r="AC317" s="83" t="s">
        <v>672</v>
      </c>
    </row>
    <row r="318" spans="1:29" ht="15" customHeight="1">
      <c r="A318" s="81">
        <v>317</v>
      </c>
      <c r="B318" s="81" t="s">
        <v>663</v>
      </c>
      <c r="C318" s="82" t="s">
        <v>788</v>
      </c>
      <c r="D318" s="82" t="s">
        <v>344</v>
      </c>
      <c r="E318" s="82" t="s">
        <v>345</v>
      </c>
      <c r="F318" s="82" t="s">
        <v>349</v>
      </c>
      <c r="G318" s="82" t="s">
        <v>347</v>
      </c>
      <c r="H318" s="82" t="s">
        <v>317</v>
      </c>
      <c r="I318" s="82" t="s">
        <v>318</v>
      </c>
      <c r="J318" s="82" t="s">
        <v>319</v>
      </c>
      <c r="K318" s="82" t="s">
        <v>385</v>
      </c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3" t="s">
        <v>670</v>
      </c>
      <c r="AC318" s="83" t="s">
        <v>672</v>
      </c>
    </row>
    <row r="319" spans="1:29" ht="15" customHeight="1">
      <c r="A319" s="81">
        <v>318</v>
      </c>
      <c r="B319" s="81" t="s">
        <v>663</v>
      </c>
      <c r="C319" s="82" t="s">
        <v>789</v>
      </c>
      <c r="D319" s="82" t="s">
        <v>344</v>
      </c>
      <c r="E319" s="82" t="s">
        <v>345</v>
      </c>
      <c r="F319" s="82" t="s">
        <v>349</v>
      </c>
      <c r="G319" s="82" t="s">
        <v>347</v>
      </c>
      <c r="H319" s="82" t="s">
        <v>317</v>
      </c>
      <c r="I319" s="82" t="s">
        <v>318</v>
      </c>
      <c r="J319" s="82" t="s">
        <v>319</v>
      </c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3" t="s">
        <v>670</v>
      </c>
      <c r="AC319" s="83" t="s">
        <v>672</v>
      </c>
    </row>
    <row r="320" spans="1:29" ht="15" customHeight="1">
      <c r="A320" s="81">
        <v>319</v>
      </c>
      <c r="B320" s="81" t="s">
        <v>663</v>
      </c>
      <c r="C320" s="82" t="s">
        <v>790</v>
      </c>
      <c r="D320" s="82" t="s">
        <v>344</v>
      </c>
      <c r="E320" s="82" t="s">
        <v>345</v>
      </c>
      <c r="F320" s="82" t="s">
        <v>349</v>
      </c>
      <c r="G320" s="82" t="s">
        <v>347</v>
      </c>
      <c r="H320" s="82" t="s">
        <v>317</v>
      </c>
      <c r="I320" s="82" t="s">
        <v>318</v>
      </c>
      <c r="J320" s="82" t="s">
        <v>319</v>
      </c>
      <c r="K320" s="82" t="s">
        <v>385</v>
      </c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3" t="s">
        <v>670</v>
      </c>
      <c r="AC320" s="83" t="s">
        <v>672</v>
      </c>
    </row>
    <row r="321" spans="1:29" ht="15" customHeight="1">
      <c r="A321" s="81">
        <v>320</v>
      </c>
      <c r="B321" s="81" t="s">
        <v>663</v>
      </c>
      <c r="C321" s="82" t="s">
        <v>791</v>
      </c>
      <c r="D321" s="82" t="s">
        <v>344</v>
      </c>
      <c r="E321" s="82" t="s">
        <v>345</v>
      </c>
      <c r="F321" s="82" t="s">
        <v>349</v>
      </c>
      <c r="G321" s="82" t="s">
        <v>347</v>
      </c>
      <c r="H321" s="82" t="s">
        <v>317</v>
      </c>
      <c r="I321" s="82" t="s">
        <v>318</v>
      </c>
      <c r="J321" s="82" t="s">
        <v>319</v>
      </c>
      <c r="K321" s="82" t="s">
        <v>320</v>
      </c>
      <c r="L321" s="82" t="s">
        <v>385</v>
      </c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3" t="s">
        <v>670</v>
      </c>
      <c r="AC321" s="83" t="s">
        <v>672</v>
      </c>
    </row>
    <row r="322" spans="1:29" ht="15" customHeight="1">
      <c r="A322" s="81">
        <v>321</v>
      </c>
      <c r="B322" s="81" t="s">
        <v>663</v>
      </c>
      <c r="C322" s="82" t="s">
        <v>792</v>
      </c>
      <c r="D322" s="82" t="s">
        <v>344</v>
      </c>
      <c r="E322" s="82" t="s">
        <v>345</v>
      </c>
      <c r="F322" s="82" t="s">
        <v>349</v>
      </c>
      <c r="G322" s="82" t="s">
        <v>347</v>
      </c>
      <c r="H322" s="82" t="s">
        <v>317</v>
      </c>
      <c r="I322" s="82" t="s">
        <v>318</v>
      </c>
      <c r="J322" s="82" t="s">
        <v>319</v>
      </c>
      <c r="K322" s="82" t="s">
        <v>320</v>
      </c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3" t="s">
        <v>670</v>
      </c>
      <c r="AC322" s="83" t="s">
        <v>672</v>
      </c>
    </row>
    <row r="323" spans="1:29" ht="15" customHeight="1">
      <c r="A323" s="81">
        <v>322</v>
      </c>
      <c r="B323" s="81" t="s">
        <v>663</v>
      </c>
      <c r="C323" s="82" t="s">
        <v>793</v>
      </c>
      <c r="D323" s="82" t="s">
        <v>344</v>
      </c>
      <c r="E323" s="82" t="s">
        <v>345</v>
      </c>
      <c r="F323" s="82" t="s">
        <v>349</v>
      </c>
      <c r="G323" s="82" t="s">
        <v>347</v>
      </c>
      <c r="H323" s="82" t="s">
        <v>317</v>
      </c>
      <c r="I323" s="82" t="s">
        <v>318</v>
      </c>
      <c r="J323" s="82" t="s">
        <v>319</v>
      </c>
      <c r="K323" s="82" t="s">
        <v>320</v>
      </c>
      <c r="L323" s="82" t="s">
        <v>385</v>
      </c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3" t="s">
        <v>670</v>
      </c>
      <c r="AC323" s="83" t="s">
        <v>672</v>
      </c>
    </row>
    <row r="324" spans="1:29" ht="15" customHeight="1">
      <c r="A324" s="81">
        <v>323</v>
      </c>
      <c r="B324" s="81" t="s">
        <v>663</v>
      </c>
      <c r="C324" s="82" t="s">
        <v>794</v>
      </c>
      <c r="D324" s="82" t="s">
        <v>344</v>
      </c>
      <c r="E324" s="82" t="s">
        <v>345</v>
      </c>
      <c r="F324" s="82" t="s">
        <v>349</v>
      </c>
      <c r="G324" s="82" t="s">
        <v>347</v>
      </c>
      <c r="H324" s="82" t="s">
        <v>317</v>
      </c>
      <c r="I324" s="82" t="s">
        <v>318</v>
      </c>
      <c r="J324" s="82" t="s">
        <v>319</v>
      </c>
      <c r="K324" s="82" t="s">
        <v>320</v>
      </c>
      <c r="L324" s="82" t="s">
        <v>321</v>
      </c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3" t="s">
        <v>670</v>
      </c>
      <c r="AC324" s="83" t="s">
        <v>672</v>
      </c>
    </row>
    <row r="325" spans="1:29" ht="15" customHeight="1">
      <c r="A325" s="81">
        <v>324</v>
      </c>
      <c r="B325" s="81" t="s">
        <v>663</v>
      </c>
      <c r="C325" s="82" t="s">
        <v>795</v>
      </c>
      <c r="D325" s="82" t="s">
        <v>344</v>
      </c>
      <c r="E325" s="82" t="s">
        <v>345</v>
      </c>
      <c r="F325" s="82" t="s">
        <v>349</v>
      </c>
      <c r="G325" s="82" t="s">
        <v>347</v>
      </c>
      <c r="H325" s="82" t="s">
        <v>317</v>
      </c>
      <c r="I325" s="82" t="s">
        <v>318</v>
      </c>
      <c r="J325" s="82" t="s">
        <v>319</v>
      </c>
      <c r="K325" s="82" t="s">
        <v>320</v>
      </c>
      <c r="L325" s="82" t="s">
        <v>321</v>
      </c>
      <c r="M325" s="82" t="s">
        <v>385</v>
      </c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3" t="s">
        <v>670</v>
      </c>
      <c r="AC325" s="83" t="s">
        <v>672</v>
      </c>
    </row>
    <row r="326" spans="1:29" ht="15" customHeight="1">
      <c r="A326" s="81">
        <v>325</v>
      </c>
      <c r="B326" s="81" t="s">
        <v>663</v>
      </c>
      <c r="C326" s="82" t="s">
        <v>796</v>
      </c>
      <c r="D326" s="82" t="s">
        <v>344</v>
      </c>
      <c r="E326" s="82" t="s">
        <v>345</v>
      </c>
      <c r="F326" s="82" t="s">
        <v>349</v>
      </c>
      <c r="G326" s="82" t="s">
        <v>347</v>
      </c>
      <c r="H326" s="82" t="s">
        <v>317</v>
      </c>
      <c r="I326" s="82" t="s">
        <v>318</v>
      </c>
      <c r="J326" s="82" t="s">
        <v>319</v>
      </c>
      <c r="K326" s="82" t="s">
        <v>320</v>
      </c>
      <c r="L326" s="82" t="s">
        <v>321</v>
      </c>
      <c r="M326" s="82" t="s">
        <v>385</v>
      </c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3" t="s">
        <v>670</v>
      </c>
      <c r="AC326" s="83" t="s">
        <v>672</v>
      </c>
    </row>
    <row r="327" spans="1:29" ht="15" customHeight="1">
      <c r="A327" s="81">
        <v>326</v>
      </c>
      <c r="B327" s="81" t="s">
        <v>663</v>
      </c>
      <c r="C327" s="82" t="s">
        <v>797</v>
      </c>
      <c r="D327" s="82" t="s">
        <v>344</v>
      </c>
      <c r="E327" s="82" t="s">
        <v>345</v>
      </c>
      <c r="F327" s="82" t="s">
        <v>349</v>
      </c>
      <c r="G327" s="82" t="s">
        <v>347</v>
      </c>
      <c r="H327" s="82" t="s">
        <v>317</v>
      </c>
      <c r="I327" s="82" t="s">
        <v>318</v>
      </c>
      <c r="J327" s="82" t="s">
        <v>319</v>
      </c>
      <c r="K327" s="82" t="s">
        <v>320</v>
      </c>
      <c r="L327" s="82" t="s">
        <v>321</v>
      </c>
      <c r="M327" s="82" t="s">
        <v>322</v>
      </c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3" t="s">
        <v>670</v>
      </c>
      <c r="AC327" s="83" t="s">
        <v>672</v>
      </c>
    </row>
    <row r="328" spans="1:29" ht="15" customHeight="1">
      <c r="A328" s="81">
        <v>327</v>
      </c>
      <c r="B328" s="81" t="s">
        <v>663</v>
      </c>
      <c r="C328" s="82" t="s">
        <v>798</v>
      </c>
      <c r="D328" s="82" t="s">
        <v>344</v>
      </c>
      <c r="E328" s="82" t="s">
        <v>345</v>
      </c>
      <c r="F328" s="82" t="s">
        <v>349</v>
      </c>
      <c r="G328" s="82" t="s">
        <v>347</v>
      </c>
      <c r="H328" s="82" t="s">
        <v>317</v>
      </c>
      <c r="I328" s="82" t="s">
        <v>318</v>
      </c>
      <c r="J328" s="82" t="s">
        <v>319</v>
      </c>
      <c r="K328" s="82" t="s">
        <v>320</v>
      </c>
      <c r="L328" s="82" t="s">
        <v>321</v>
      </c>
      <c r="M328" s="82" t="s">
        <v>322</v>
      </c>
      <c r="N328" s="82" t="s">
        <v>385</v>
      </c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3" t="s">
        <v>670</v>
      </c>
      <c r="AC328" s="83" t="s">
        <v>672</v>
      </c>
    </row>
    <row r="329" spans="1:29" ht="15" customHeight="1">
      <c r="A329" s="81">
        <v>328</v>
      </c>
      <c r="B329" s="81" t="s">
        <v>663</v>
      </c>
      <c r="C329" s="82" t="s">
        <v>799</v>
      </c>
      <c r="D329" s="82" t="s">
        <v>344</v>
      </c>
      <c r="E329" s="82" t="s">
        <v>345</v>
      </c>
      <c r="F329" s="82" t="s">
        <v>349</v>
      </c>
      <c r="G329" s="82" t="s">
        <v>347</v>
      </c>
      <c r="H329" s="82" t="s">
        <v>317</v>
      </c>
      <c r="I329" s="82" t="s">
        <v>318</v>
      </c>
      <c r="J329" s="82" t="s">
        <v>319</v>
      </c>
      <c r="K329" s="82" t="s">
        <v>320</v>
      </c>
      <c r="L329" s="82" t="s">
        <v>321</v>
      </c>
      <c r="M329" s="82" t="s">
        <v>322</v>
      </c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3" t="s">
        <v>670</v>
      </c>
      <c r="AC329" s="83" t="s">
        <v>672</v>
      </c>
    </row>
    <row r="330" spans="1:29" ht="15" customHeight="1">
      <c r="A330" s="81">
        <v>329</v>
      </c>
      <c r="B330" s="81" t="s">
        <v>663</v>
      </c>
      <c r="C330" s="82" t="s">
        <v>800</v>
      </c>
      <c r="D330" s="82" t="s">
        <v>344</v>
      </c>
      <c r="E330" s="82" t="s">
        <v>345</v>
      </c>
      <c r="F330" s="82" t="s">
        <v>349</v>
      </c>
      <c r="G330" s="82" t="s">
        <v>347</v>
      </c>
      <c r="H330" s="82" t="s">
        <v>317</v>
      </c>
      <c r="I330" s="82" t="s">
        <v>318</v>
      </c>
      <c r="J330" s="82" t="s">
        <v>319</v>
      </c>
      <c r="K330" s="82" t="s">
        <v>320</v>
      </c>
      <c r="L330" s="82" t="s">
        <v>321</v>
      </c>
      <c r="M330" s="82" t="s">
        <v>322</v>
      </c>
      <c r="N330" s="82" t="s">
        <v>385</v>
      </c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3" t="s">
        <v>670</v>
      </c>
      <c r="AC330" s="83" t="s">
        <v>672</v>
      </c>
    </row>
    <row r="331" spans="1:29" ht="15" customHeight="1">
      <c r="A331" s="81">
        <v>330</v>
      </c>
      <c r="B331" s="81" t="s">
        <v>663</v>
      </c>
      <c r="C331" s="82" t="s">
        <v>801</v>
      </c>
      <c r="D331" s="82" t="s">
        <v>344</v>
      </c>
      <c r="E331" s="82" t="s">
        <v>345</v>
      </c>
      <c r="F331" s="82" t="s">
        <v>349</v>
      </c>
      <c r="G331" s="82" t="s">
        <v>347</v>
      </c>
      <c r="H331" s="82" t="s">
        <v>317</v>
      </c>
      <c r="I331" s="82" t="s">
        <v>318</v>
      </c>
      <c r="J331" s="82" t="s">
        <v>319</v>
      </c>
      <c r="K331" s="82" t="s">
        <v>320</v>
      </c>
      <c r="L331" s="82" t="s">
        <v>321</v>
      </c>
      <c r="M331" s="82" t="s">
        <v>322</v>
      </c>
      <c r="N331" s="82" t="s">
        <v>323</v>
      </c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3" t="s">
        <v>670</v>
      </c>
      <c r="AC331" s="83" t="s">
        <v>672</v>
      </c>
    </row>
    <row r="332" spans="1:29" ht="15" customHeight="1">
      <c r="A332" s="81">
        <v>331</v>
      </c>
      <c r="B332" s="81" t="s">
        <v>663</v>
      </c>
      <c r="C332" s="82" t="s">
        <v>802</v>
      </c>
      <c r="D332" s="82" t="s">
        <v>344</v>
      </c>
      <c r="E332" s="82" t="s">
        <v>345</v>
      </c>
      <c r="F332" s="82" t="s">
        <v>349</v>
      </c>
      <c r="G332" s="82" t="s">
        <v>347</v>
      </c>
      <c r="H332" s="82" t="s">
        <v>317</v>
      </c>
      <c r="I332" s="82" t="s">
        <v>318</v>
      </c>
      <c r="J332" s="82" t="s">
        <v>319</v>
      </c>
      <c r="K332" s="82" t="s">
        <v>320</v>
      </c>
      <c r="L332" s="82" t="s">
        <v>321</v>
      </c>
      <c r="M332" s="82" t="s">
        <v>322</v>
      </c>
      <c r="N332" s="82" t="s">
        <v>323</v>
      </c>
      <c r="O332" s="82" t="s">
        <v>385</v>
      </c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3" t="s">
        <v>670</v>
      </c>
      <c r="AC332" s="83" t="s">
        <v>672</v>
      </c>
    </row>
    <row r="333" spans="1:29" ht="15" customHeight="1">
      <c r="A333" s="81">
        <v>332</v>
      </c>
      <c r="B333" s="81" t="s">
        <v>663</v>
      </c>
      <c r="C333" s="82" t="s">
        <v>803</v>
      </c>
      <c r="D333" s="82" t="s">
        <v>344</v>
      </c>
      <c r="E333" s="82" t="s">
        <v>345</v>
      </c>
      <c r="F333" s="82" t="s">
        <v>349</v>
      </c>
      <c r="G333" s="82" t="s">
        <v>347</v>
      </c>
      <c r="H333" s="82" t="s">
        <v>317</v>
      </c>
      <c r="I333" s="82" t="s">
        <v>318</v>
      </c>
      <c r="J333" s="82" t="s">
        <v>319</v>
      </c>
      <c r="K333" s="82" t="s">
        <v>320</v>
      </c>
      <c r="L333" s="82" t="s">
        <v>321</v>
      </c>
      <c r="M333" s="82" t="s">
        <v>322</v>
      </c>
      <c r="N333" s="82" t="s">
        <v>323</v>
      </c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3" t="s">
        <v>670</v>
      </c>
      <c r="AC333" s="83" t="s">
        <v>672</v>
      </c>
    </row>
    <row r="334" spans="1:29" ht="15" customHeight="1">
      <c r="A334" s="81">
        <v>333</v>
      </c>
      <c r="B334" s="81" t="s">
        <v>663</v>
      </c>
      <c r="C334" s="82" t="s">
        <v>804</v>
      </c>
      <c r="D334" s="82" t="s">
        <v>344</v>
      </c>
      <c r="E334" s="82" t="s">
        <v>345</v>
      </c>
      <c r="F334" s="82" t="s">
        <v>349</v>
      </c>
      <c r="G334" s="82" t="s">
        <v>347</v>
      </c>
      <c r="H334" s="82" t="s">
        <v>317</v>
      </c>
      <c r="I334" s="82" t="s">
        <v>318</v>
      </c>
      <c r="J334" s="82" t="s">
        <v>319</v>
      </c>
      <c r="K334" s="82" t="s">
        <v>320</v>
      </c>
      <c r="L334" s="82" t="s">
        <v>321</v>
      </c>
      <c r="M334" s="82" t="s">
        <v>322</v>
      </c>
      <c r="N334" s="82" t="s">
        <v>323</v>
      </c>
      <c r="O334" s="82" t="s">
        <v>385</v>
      </c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3" t="s">
        <v>670</v>
      </c>
      <c r="AC334" s="83" t="s">
        <v>672</v>
      </c>
    </row>
    <row r="335" spans="1:29" ht="15" customHeight="1">
      <c r="A335" s="81">
        <v>334</v>
      </c>
      <c r="B335" s="81" t="s">
        <v>663</v>
      </c>
      <c r="C335" s="82" t="s">
        <v>805</v>
      </c>
      <c r="D335" s="82" t="s">
        <v>344</v>
      </c>
      <c r="E335" s="82" t="s">
        <v>345</v>
      </c>
      <c r="F335" s="82" t="s">
        <v>349</v>
      </c>
      <c r="G335" s="82" t="s">
        <v>347</v>
      </c>
      <c r="H335" s="82" t="s">
        <v>317</v>
      </c>
      <c r="I335" s="82" t="s">
        <v>318</v>
      </c>
      <c r="J335" s="82" t="s">
        <v>319</v>
      </c>
      <c r="K335" s="82" t="s">
        <v>320</v>
      </c>
      <c r="L335" s="82" t="s">
        <v>321</v>
      </c>
      <c r="M335" s="82" t="s">
        <v>322</v>
      </c>
      <c r="N335" s="82" t="s">
        <v>323</v>
      </c>
      <c r="O335" s="82" t="s">
        <v>324</v>
      </c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3" t="s">
        <v>670</v>
      </c>
      <c r="AC335" s="83" t="s">
        <v>672</v>
      </c>
    </row>
    <row r="336" spans="1:29" ht="15" customHeight="1">
      <c r="A336" s="81">
        <v>335</v>
      </c>
      <c r="B336" s="81" t="s">
        <v>663</v>
      </c>
      <c r="C336" s="82" t="s">
        <v>806</v>
      </c>
      <c r="D336" s="82" t="s">
        <v>344</v>
      </c>
      <c r="E336" s="82" t="s">
        <v>345</v>
      </c>
      <c r="F336" s="82" t="s">
        <v>349</v>
      </c>
      <c r="G336" s="82" t="s">
        <v>347</v>
      </c>
      <c r="H336" s="82" t="s">
        <v>317</v>
      </c>
      <c r="I336" s="82" t="s">
        <v>318</v>
      </c>
      <c r="J336" s="82" t="s">
        <v>319</v>
      </c>
      <c r="K336" s="82" t="s">
        <v>320</v>
      </c>
      <c r="L336" s="82" t="s">
        <v>321</v>
      </c>
      <c r="M336" s="82" t="s">
        <v>322</v>
      </c>
      <c r="N336" s="82" t="s">
        <v>323</v>
      </c>
      <c r="O336" s="82" t="s">
        <v>324</v>
      </c>
      <c r="P336" s="82" t="s">
        <v>385</v>
      </c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3" t="s">
        <v>670</v>
      </c>
      <c r="AC336" s="83" t="s">
        <v>672</v>
      </c>
    </row>
    <row r="337" spans="1:29" ht="15" customHeight="1">
      <c r="A337" s="81">
        <v>336</v>
      </c>
      <c r="B337" s="81" t="s">
        <v>663</v>
      </c>
      <c r="C337" s="82" t="s">
        <v>807</v>
      </c>
      <c r="D337" s="82" t="s">
        <v>344</v>
      </c>
      <c r="E337" s="82" t="s">
        <v>345</v>
      </c>
      <c r="F337" s="82" t="s">
        <v>349</v>
      </c>
      <c r="G337" s="82" t="s">
        <v>347</v>
      </c>
      <c r="H337" s="82" t="s">
        <v>317</v>
      </c>
      <c r="I337" s="82" t="s">
        <v>318</v>
      </c>
      <c r="J337" s="82" t="s">
        <v>319</v>
      </c>
      <c r="K337" s="82" t="s">
        <v>320</v>
      </c>
      <c r="L337" s="82" t="s">
        <v>321</v>
      </c>
      <c r="M337" s="82" t="s">
        <v>322</v>
      </c>
      <c r="N337" s="82" t="s">
        <v>323</v>
      </c>
      <c r="O337" s="82" t="s">
        <v>324</v>
      </c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3" t="s">
        <v>670</v>
      </c>
      <c r="AC337" s="83" t="s">
        <v>672</v>
      </c>
    </row>
    <row r="338" spans="1:29" ht="15" customHeight="1">
      <c r="A338" s="81">
        <v>337</v>
      </c>
      <c r="B338" s="81" t="s">
        <v>663</v>
      </c>
      <c r="C338" s="82" t="s">
        <v>808</v>
      </c>
      <c r="D338" s="82" t="s">
        <v>344</v>
      </c>
      <c r="E338" s="82" t="s">
        <v>345</v>
      </c>
      <c r="F338" s="82" t="s">
        <v>349</v>
      </c>
      <c r="G338" s="82" t="s">
        <v>347</v>
      </c>
      <c r="H338" s="82" t="s">
        <v>317</v>
      </c>
      <c r="I338" s="82" t="s">
        <v>318</v>
      </c>
      <c r="J338" s="82" t="s">
        <v>319</v>
      </c>
      <c r="K338" s="82" t="s">
        <v>320</v>
      </c>
      <c r="L338" s="82" t="s">
        <v>321</v>
      </c>
      <c r="M338" s="82" t="s">
        <v>322</v>
      </c>
      <c r="N338" s="82" t="s">
        <v>323</v>
      </c>
      <c r="O338" s="82" t="s">
        <v>324</v>
      </c>
      <c r="P338" s="82" t="s">
        <v>385</v>
      </c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3" t="s">
        <v>670</v>
      </c>
      <c r="AC338" s="83" t="s">
        <v>672</v>
      </c>
    </row>
    <row r="339" spans="1:29" ht="15" customHeight="1">
      <c r="A339" s="81">
        <v>338</v>
      </c>
      <c r="B339" s="81" t="s">
        <v>663</v>
      </c>
      <c r="C339" s="82" t="s">
        <v>809</v>
      </c>
      <c r="D339" s="82" t="s">
        <v>344</v>
      </c>
      <c r="E339" s="82" t="s">
        <v>345</v>
      </c>
      <c r="F339" s="82" t="s">
        <v>349</v>
      </c>
      <c r="G339" s="82" t="s">
        <v>347</v>
      </c>
      <c r="H339" s="82" t="s">
        <v>317</v>
      </c>
      <c r="I339" s="82" t="s">
        <v>318</v>
      </c>
      <c r="J339" s="82" t="s">
        <v>319</v>
      </c>
      <c r="K339" s="82" t="s">
        <v>320</v>
      </c>
      <c r="L339" s="82" t="s">
        <v>321</v>
      </c>
      <c r="M339" s="82" t="s">
        <v>322</v>
      </c>
      <c r="N339" s="82" t="s">
        <v>323</v>
      </c>
      <c r="O339" s="82" t="s">
        <v>324</v>
      </c>
      <c r="P339" s="82" t="s">
        <v>325</v>
      </c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3" t="s">
        <v>670</v>
      </c>
      <c r="AC339" s="83" t="s">
        <v>672</v>
      </c>
    </row>
    <row r="340" spans="1:29" ht="15" customHeight="1">
      <c r="A340" s="81">
        <v>339</v>
      </c>
      <c r="B340" s="81" t="s">
        <v>663</v>
      </c>
      <c r="C340" s="82" t="s">
        <v>810</v>
      </c>
      <c r="D340" s="82" t="s">
        <v>344</v>
      </c>
      <c r="E340" s="82" t="s">
        <v>345</v>
      </c>
      <c r="F340" s="82" t="s">
        <v>349</v>
      </c>
      <c r="G340" s="82" t="s">
        <v>347</v>
      </c>
      <c r="H340" s="82" t="s">
        <v>317</v>
      </c>
      <c r="I340" s="82" t="s">
        <v>318</v>
      </c>
      <c r="J340" s="82" t="s">
        <v>319</v>
      </c>
      <c r="K340" s="82" t="s">
        <v>320</v>
      </c>
      <c r="L340" s="82" t="s">
        <v>321</v>
      </c>
      <c r="M340" s="82" t="s">
        <v>322</v>
      </c>
      <c r="N340" s="82" t="s">
        <v>323</v>
      </c>
      <c r="O340" s="82" t="s">
        <v>324</v>
      </c>
      <c r="P340" s="82" t="s">
        <v>325</v>
      </c>
      <c r="Q340" s="82" t="s">
        <v>385</v>
      </c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3" t="s">
        <v>670</v>
      </c>
      <c r="AC340" s="83" t="s">
        <v>672</v>
      </c>
    </row>
    <row r="341" spans="1:29" ht="15" customHeight="1">
      <c r="A341" s="81">
        <v>340</v>
      </c>
      <c r="B341" s="81" t="s">
        <v>663</v>
      </c>
      <c r="C341" s="82" t="s">
        <v>811</v>
      </c>
      <c r="D341" s="82" t="s">
        <v>344</v>
      </c>
      <c r="E341" s="82" t="s">
        <v>345</v>
      </c>
      <c r="F341" s="82" t="s">
        <v>349</v>
      </c>
      <c r="G341" s="82" t="s">
        <v>347</v>
      </c>
      <c r="H341" s="82" t="s">
        <v>317</v>
      </c>
      <c r="I341" s="82" t="s">
        <v>318</v>
      </c>
      <c r="J341" s="82" t="s">
        <v>319</v>
      </c>
      <c r="K341" s="82" t="s">
        <v>320</v>
      </c>
      <c r="L341" s="82" t="s">
        <v>321</v>
      </c>
      <c r="M341" s="82" t="s">
        <v>322</v>
      </c>
      <c r="N341" s="82" t="s">
        <v>323</v>
      </c>
      <c r="O341" s="82" t="s">
        <v>324</v>
      </c>
      <c r="P341" s="82" t="s">
        <v>325</v>
      </c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3" t="s">
        <v>670</v>
      </c>
      <c r="AC341" s="83" t="s">
        <v>672</v>
      </c>
    </row>
    <row r="342" spans="1:29" ht="15" customHeight="1">
      <c r="A342" s="81">
        <v>341</v>
      </c>
      <c r="B342" s="81" t="s">
        <v>663</v>
      </c>
      <c r="C342" s="82" t="s">
        <v>812</v>
      </c>
      <c r="D342" s="82" t="s">
        <v>344</v>
      </c>
      <c r="E342" s="82" t="s">
        <v>345</v>
      </c>
      <c r="F342" s="82" t="s">
        <v>349</v>
      </c>
      <c r="G342" s="82" t="s">
        <v>347</v>
      </c>
      <c r="H342" s="82" t="s">
        <v>317</v>
      </c>
      <c r="I342" s="82" t="s">
        <v>318</v>
      </c>
      <c r="J342" s="82" t="s">
        <v>319</v>
      </c>
      <c r="K342" s="82" t="s">
        <v>320</v>
      </c>
      <c r="L342" s="82" t="s">
        <v>321</v>
      </c>
      <c r="M342" s="82" t="s">
        <v>322</v>
      </c>
      <c r="N342" s="82" t="s">
        <v>323</v>
      </c>
      <c r="O342" s="82" t="s">
        <v>324</v>
      </c>
      <c r="P342" s="82" t="s">
        <v>325</v>
      </c>
      <c r="Q342" s="82" t="s">
        <v>385</v>
      </c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3" t="s">
        <v>670</v>
      </c>
      <c r="AC342" s="83" t="s">
        <v>672</v>
      </c>
    </row>
    <row r="343" spans="1:29" ht="15" customHeight="1">
      <c r="A343" s="81">
        <v>342</v>
      </c>
      <c r="B343" s="81" t="s">
        <v>663</v>
      </c>
      <c r="C343" s="82" t="s">
        <v>813</v>
      </c>
      <c r="D343" s="82" t="s">
        <v>344</v>
      </c>
      <c r="E343" s="82" t="s">
        <v>345</v>
      </c>
      <c r="F343" s="82" t="s">
        <v>349</v>
      </c>
      <c r="G343" s="82" t="s">
        <v>347</v>
      </c>
      <c r="H343" s="82" t="s">
        <v>317</v>
      </c>
      <c r="I343" s="82" t="s">
        <v>318</v>
      </c>
      <c r="J343" s="82" t="s">
        <v>319</v>
      </c>
      <c r="K343" s="82" t="s">
        <v>320</v>
      </c>
      <c r="L343" s="82" t="s">
        <v>321</v>
      </c>
      <c r="M343" s="82" t="s">
        <v>322</v>
      </c>
      <c r="N343" s="82" t="s">
        <v>323</v>
      </c>
      <c r="O343" s="82" t="s">
        <v>324</v>
      </c>
      <c r="P343" s="82" t="s">
        <v>325</v>
      </c>
      <c r="Q343" s="82" t="s">
        <v>326</v>
      </c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3" t="s">
        <v>670</v>
      </c>
      <c r="AC343" s="83" t="s">
        <v>672</v>
      </c>
    </row>
    <row r="344" spans="1:29" ht="15" customHeight="1">
      <c r="A344" s="81">
        <v>343</v>
      </c>
      <c r="B344" s="81" t="s">
        <v>663</v>
      </c>
      <c r="C344" s="82" t="s">
        <v>814</v>
      </c>
      <c r="D344" s="82" t="s">
        <v>344</v>
      </c>
      <c r="E344" s="82" t="s">
        <v>345</v>
      </c>
      <c r="F344" s="82" t="s">
        <v>349</v>
      </c>
      <c r="G344" s="82" t="s">
        <v>347</v>
      </c>
      <c r="H344" s="82" t="s">
        <v>317</v>
      </c>
      <c r="I344" s="82" t="s">
        <v>318</v>
      </c>
      <c r="J344" s="82" t="s">
        <v>319</v>
      </c>
      <c r="K344" s="82" t="s">
        <v>320</v>
      </c>
      <c r="L344" s="82" t="s">
        <v>321</v>
      </c>
      <c r="M344" s="82" t="s">
        <v>322</v>
      </c>
      <c r="N344" s="82" t="s">
        <v>323</v>
      </c>
      <c r="O344" s="82" t="s">
        <v>324</v>
      </c>
      <c r="P344" s="82" t="s">
        <v>325</v>
      </c>
      <c r="Q344" s="82" t="s">
        <v>326</v>
      </c>
      <c r="R344" s="82" t="s">
        <v>385</v>
      </c>
      <c r="S344" s="82"/>
      <c r="T344" s="82"/>
      <c r="U344" s="82"/>
      <c r="V344" s="82"/>
      <c r="W344" s="82"/>
      <c r="X344" s="82"/>
      <c r="Y344" s="82"/>
      <c r="Z344" s="82"/>
      <c r="AA344" s="82"/>
      <c r="AB344" s="83" t="s">
        <v>670</v>
      </c>
      <c r="AC344" s="83" t="s">
        <v>672</v>
      </c>
    </row>
    <row r="345" spans="1:29" ht="15" customHeight="1">
      <c r="A345" s="81">
        <v>344</v>
      </c>
      <c r="B345" s="81" t="s">
        <v>663</v>
      </c>
      <c r="C345" s="82" t="s">
        <v>815</v>
      </c>
      <c r="D345" s="82" t="s">
        <v>344</v>
      </c>
      <c r="E345" s="82" t="s">
        <v>345</v>
      </c>
      <c r="F345" s="82" t="s">
        <v>349</v>
      </c>
      <c r="G345" s="82" t="s">
        <v>347</v>
      </c>
      <c r="H345" s="82" t="s">
        <v>317</v>
      </c>
      <c r="I345" s="82" t="s">
        <v>318</v>
      </c>
      <c r="J345" s="82" t="s">
        <v>319</v>
      </c>
      <c r="K345" s="82" t="s">
        <v>320</v>
      </c>
      <c r="L345" s="82" t="s">
        <v>321</v>
      </c>
      <c r="M345" s="82" t="s">
        <v>322</v>
      </c>
      <c r="N345" s="82" t="s">
        <v>323</v>
      </c>
      <c r="O345" s="82" t="s">
        <v>324</v>
      </c>
      <c r="P345" s="82" t="s">
        <v>325</v>
      </c>
      <c r="Q345" s="82" t="s">
        <v>326</v>
      </c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3" t="s">
        <v>670</v>
      </c>
      <c r="AC345" s="83" t="s">
        <v>672</v>
      </c>
    </row>
    <row r="346" spans="1:29" ht="15" customHeight="1">
      <c r="A346" s="81">
        <v>345</v>
      </c>
      <c r="B346" s="81" t="s">
        <v>663</v>
      </c>
      <c r="C346" s="82" t="s">
        <v>816</v>
      </c>
      <c r="D346" s="82" t="s">
        <v>344</v>
      </c>
      <c r="E346" s="82" t="s">
        <v>345</v>
      </c>
      <c r="F346" s="82" t="s">
        <v>349</v>
      </c>
      <c r="G346" s="82" t="s">
        <v>347</v>
      </c>
      <c r="H346" s="82" t="s">
        <v>317</v>
      </c>
      <c r="I346" s="82" t="s">
        <v>318</v>
      </c>
      <c r="J346" s="82" t="s">
        <v>319</v>
      </c>
      <c r="K346" s="82" t="s">
        <v>320</v>
      </c>
      <c r="L346" s="82" t="s">
        <v>321</v>
      </c>
      <c r="M346" s="82" t="s">
        <v>322</v>
      </c>
      <c r="N346" s="82" t="s">
        <v>323</v>
      </c>
      <c r="O346" s="82" t="s">
        <v>324</v>
      </c>
      <c r="P346" s="82" t="s">
        <v>325</v>
      </c>
      <c r="Q346" s="82" t="s">
        <v>326</v>
      </c>
      <c r="R346" s="82" t="s">
        <v>385</v>
      </c>
      <c r="S346" s="82"/>
      <c r="T346" s="82"/>
      <c r="U346" s="82"/>
      <c r="V346" s="82"/>
      <c r="W346" s="82"/>
      <c r="X346" s="82"/>
      <c r="Y346" s="82"/>
      <c r="Z346" s="82"/>
      <c r="AA346" s="82"/>
      <c r="AB346" s="83" t="s">
        <v>670</v>
      </c>
      <c r="AC346" s="83" t="s">
        <v>672</v>
      </c>
    </row>
    <row r="347" spans="1:29" ht="15" customHeight="1">
      <c r="A347" s="81">
        <v>346</v>
      </c>
      <c r="B347" s="81" t="s">
        <v>663</v>
      </c>
      <c r="C347" s="82" t="s">
        <v>817</v>
      </c>
      <c r="D347" s="82" t="s">
        <v>344</v>
      </c>
      <c r="E347" s="82" t="s">
        <v>345</v>
      </c>
      <c r="F347" s="82" t="s">
        <v>349</v>
      </c>
      <c r="G347" s="82" t="s">
        <v>347</v>
      </c>
      <c r="H347" s="82" t="s">
        <v>317</v>
      </c>
      <c r="I347" s="82" t="s">
        <v>318</v>
      </c>
      <c r="J347" s="82" t="s">
        <v>319</v>
      </c>
      <c r="K347" s="82" t="s">
        <v>320</v>
      </c>
      <c r="L347" s="82" t="s">
        <v>321</v>
      </c>
      <c r="M347" s="82" t="s">
        <v>322</v>
      </c>
      <c r="N347" s="82" t="s">
        <v>323</v>
      </c>
      <c r="O347" s="82" t="s">
        <v>324</v>
      </c>
      <c r="P347" s="82" t="s">
        <v>325</v>
      </c>
      <c r="Q347" s="82" t="s">
        <v>326</v>
      </c>
      <c r="R347" s="82" t="s">
        <v>327</v>
      </c>
      <c r="S347" s="82"/>
      <c r="T347" s="82"/>
      <c r="U347" s="82"/>
      <c r="V347" s="82"/>
      <c r="W347" s="82"/>
      <c r="X347" s="82"/>
      <c r="Y347" s="82"/>
      <c r="Z347" s="82"/>
      <c r="AA347" s="82"/>
      <c r="AB347" s="83" t="s">
        <v>670</v>
      </c>
      <c r="AC347" s="83" t="s">
        <v>672</v>
      </c>
    </row>
    <row r="348" spans="1:29" ht="15" customHeight="1">
      <c r="A348" s="81">
        <v>347</v>
      </c>
      <c r="B348" s="81" t="s">
        <v>663</v>
      </c>
      <c r="C348" s="82" t="s">
        <v>818</v>
      </c>
      <c r="D348" s="82" t="s">
        <v>344</v>
      </c>
      <c r="E348" s="82" t="s">
        <v>345</v>
      </c>
      <c r="F348" s="82" t="s">
        <v>349</v>
      </c>
      <c r="G348" s="82" t="s">
        <v>347</v>
      </c>
      <c r="H348" s="82" t="s">
        <v>317</v>
      </c>
      <c r="I348" s="82" t="s">
        <v>318</v>
      </c>
      <c r="J348" s="82" t="s">
        <v>319</v>
      </c>
      <c r="K348" s="82" t="s">
        <v>320</v>
      </c>
      <c r="L348" s="82" t="s">
        <v>321</v>
      </c>
      <c r="M348" s="82" t="s">
        <v>322</v>
      </c>
      <c r="N348" s="82" t="s">
        <v>323</v>
      </c>
      <c r="O348" s="82" t="s">
        <v>324</v>
      </c>
      <c r="P348" s="82" t="s">
        <v>325</v>
      </c>
      <c r="Q348" s="82" t="s">
        <v>326</v>
      </c>
      <c r="R348" s="82" t="s">
        <v>327</v>
      </c>
      <c r="S348" s="82" t="s">
        <v>385</v>
      </c>
      <c r="T348" s="82"/>
      <c r="U348" s="82"/>
      <c r="V348" s="82"/>
      <c r="W348" s="82"/>
      <c r="X348" s="82"/>
      <c r="Y348" s="82"/>
      <c r="Z348" s="82"/>
      <c r="AA348" s="82"/>
      <c r="AB348" s="83" t="s">
        <v>670</v>
      </c>
      <c r="AC348" s="83" t="s">
        <v>672</v>
      </c>
    </row>
    <row r="349" spans="1:29" ht="15" customHeight="1">
      <c r="A349" s="81">
        <v>348</v>
      </c>
      <c r="B349" s="81" t="s">
        <v>663</v>
      </c>
      <c r="C349" s="82" t="s">
        <v>819</v>
      </c>
      <c r="D349" s="82" t="s">
        <v>344</v>
      </c>
      <c r="E349" s="82" t="s">
        <v>345</v>
      </c>
      <c r="F349" s="82" t="s">
        <v>349</v>
      </c>
      <c r="G349" s="82" t="s">
        <v>347</v>
      </c>
      <c r="H349" s="82" t="s">
        <v>317</v>
      </c>
      <c r="I349" s="82" t="s">
        <v>318</v>
      </c>
      <c r="J349" s="82" t="s">
        <v>319</v>
      </c>
      <c r="K349" s="82" t="s">
        <v>320</v>
      </c>
      <c r="L349" s="82" t="s">
        <v>321</v>
      </c>
      <c r="M349" s="82" t="s">
        <v>322</v>
      </c>
      <c r="N349" s="82" t="s">
        <v>323</v>
      </c>
      <c r="O349" s="82" t="s">
        <v>324</v>
      </c>
      <c r="P349" s="82" t="s">
        <v>325</v>
      </c>
      <c r="Q349" s="82" t="s">
        <v>326</v>
      </c>
      <c r="R349" s="82" t="s">
        <v>327</v>
      </c>
      <c r="S349" s="82"/>
      <c r="T349" s="82"/>
      <c r="U349" s="82"/>
      <c r="V349" s="82"/>
      <c r="W349" s="82"/>
      <c r="X349" s="82"/>
      <c r="Y349" s="82"/>
      <c r="Z349" s="82"/>
      <c r="AA349" s="82"/>
      <c r="AB349" s="83" t="s">
        <v>670</v>
      </c>
      <c r="AC349" s="83" t="s">
        <v>672</v>
      </c>
    </row>
    <row r="350" spans="1:29" ht="15" customHeight="1">
      <c r="A350" s="81">
        <v>349</v>
      </c>
      <c r="B350" s="81" t="s">
        <v>663</v>
      </c>
      <c r="C350" s="82" t="s">
        <v>820</v>
      </c>
      <c r="D350" s="82" t="s">
        <v>344</v>
      </c>
      <c r="E350" s="82" t="s">
        <v>345</v>
      </c>
      <c r="F350" s="82" t="s">
        <v>349</v>
      </c>
      <c r="G350" s="82" t="s">
        <v>347</v>
      </c>
      <c r="H350" s="82" t="s">
        <v>317</v>
      </c>
      <c r="I350" s="82" t="s">
        <v>318</v>
      </c>
      <c r="J350" s="82" t="s">
        <v>319</v>
      </c>
      <c r="K350" s="82" t="s">
        <v>320</v>
      </c>
      <c r="L350" s="82" t="s">
        <v>321</v>
      </c>
      <c r="M350" s="82" t="s">
        <v>322</v>
      </c>
      <c r="N350" s="82" t="s">
        <v>323</v>
      </c>
      <c r="O350" s="82" t="s">
        <v>324</v>
      </c>
      <c r="P350" s="82" t="s">
        <v>325</v>
      </c>
      <c r="Q350" s="82" t="s">
        <v>326</v>
      </c>
      <c r="R350" s="82" t="s">
        <v>327</v>
      </c>
      <c r="S350" s="82" t="s">
        <v>385</v>
      </c>
      <c r="T350" s="82"/>
      <c r="U350" s="82"/>
      <c r="V350" s="82"/>
      <c r="W350" s="82"/>
      <c r="X350" s="82"/>
      <c r="Y350" s="82"/>
      <c r="Z350" s="82"/>
      <c r="AA350" s="82"/>
      <c r="AB350" s="83" t="s">
        <v>670</v>
      </c>
      <c r="AC350" s="83" t="s">
        <v>672</v>
      </c>
    </row>
    <row r="351" spans="1:29" ht="15" customHeight="1">
      <c r="A351" s="81">
        <v>350</v>
      </c>
      <c r="B351" s="81" t="s">
        <v>663</v>
      </c>
      <c r="C351" s="82" t="s">
        <v>821</v>
      </c>
      <c r="D351" s="82" t="s">
        <v>344</v>
      </c>
      <c r="E351" s="82" t="s">
        <v>345</v>
      </c>
      <c r="F351" s="82" t="s">
        <v>349</v>
      </c>
      <c r="G351" s="82" t="s">
        <v>347</v>
      </c>
      <c r="H351" s="82" t="s">
        <v>317</v>
      </c>
      <c r="I351" s="82" t="s">
        <v>318</v>
      </c>
      <c r="J351" s="82" t="s">
        <v>319</v>
      </c>
      <c r="K351" s="82" t="s">
        <v>320</v>
      </c>
      <c r="L351" s="82" t="s">
        <v>321</v>
      </c>
      <c r="M351" s="82" t="s">
        <v>322</v>
      </c>
      <c r="N351" s="82" t="s">
        <v>323</v>
      </c>
      <c r="O351" s="82" t="s">
        <v>324</v>
      </c>
      <c r="P351" s="82" t="s">
        <v>325</v>
      </c>
      <c r="Q351" s="82" t="s">
        <v>326</v>
      </c>
      <c r="R351" s="82" t="s">
        <v>327</v>
      </c>
      <c r="S351" s="82" t="s">
        <v>328</v>
      </c>
      <c r="T351" s="82" t="s">
        <v>385</v>
      </c>
      <c r="U351" s="82"/>
      <c r="V351" s="82"/>
      <c r="W351" s="82"/>
      <c r="X351" s="82"/>
      <c r="Y351" s="82"/>
      <c r="Z351" s="82"/>
      <c r="AA351" s="82"/>
      <c r="AB351" s="83" t="s">
        <v>670</v>
      </c>
      <c r="AC351" s="83" t="s">
        <v>672</v>
      </c>
    </row>
    <row r="352" spans="1:29" ht="15" customHeight="1">
      <c r="A352" s="81">
        <v>351</v>
      </c>
      <c r="B352" s="81" t="s">
        <v>663</v>
      </c>
      <c r="C352" s="82" t="s">
        <v>822</v>
      </c>
      <c r="D352" s="82" t="s">
        <v>344</v>
      </c>
      <c r="E352" s="82" t="s">
        <v>345</v>
      </c>
      <c r="F352" s="82" t="s">
        <v>349</v>
      </c>
      <c r="G352" s="82" t="s">
        <v>347</v>
      </c>
      <c r="H352" s="82" t="s">
        <v>317</v>
      </c>
      <c r="I352" s="82" t="s">
        <v>318</v>
      </c>
      <c r="J352" s="82" t="s">
        <v>319</v>
      </c>
      <c r="K352" s="82" t="s">
        <v>320</v>
      </c>
      <c r="L352" s="82" t="s">
        <v>321</v>
      </c>
      <c r="M352" s="82" t="s">
        <v>322</v>
      </c>
      <c r="N352" s="82" t="s">
        <v>323</v>
      </c>
      <c r="O352" s="82" t="s">
        <v>324</v>
      </c>
      <c r="P352" s="82" t="s">
        <v>325</v>
      </c>
      <c r="Q352" s="82" t="s">
        <v>326</v>
      </c>
      <c r="R352" s="82" t="s">
        <v>327</v>
      </c>
      <c r="S352" s="82" t="s">
        <v>328</v>
      </c>
      <c r="T352" s="82"/>
      <c r="U352" s="82"/>
      <c r="V352" s="82"/>
      <c r="W352" s="82"/>
      <c r="X352" s="82"/>
      <c r="Y352" s="82"/>
      <c r="Z352" s="82"/>
      <c r="AA352" s="82"/>
      <c r="AB352" s="83" t="s">
        <v>670</v>
      </c>
      <c r="AC352" s="83" t="s">
        <v>672</v>
      </c>
    </row>
    <row r="353" spans="1:29" ht="15" customHeight="1">
      <c r="A353" s="81">
        <v>352</v>
      </c>
      <c r="B353" s="81" t="s">
        <v>663</v>
      </c>
      <c r="C353" s="82" t="s">
        <v>823</v>
      </c>
      <c r="D353" s="82" t="s">
        <v>344</v>
      </c>
      <c r="E353" s="82" t="s">
        <v>345</v>
      </c>
      <c r="F353" s="82" t="s">
        <v>349</v>
      </c>
      <c r="G353" s="82" t="s">
        <v>347</v>
      </c>
      <c r="H353" s="82" t="s">
        <v>317</v>
      </c>
      <c r="I353" s="82" t="s">
        <v>318</v>
      </c>
      <c r="J353" s="82" t="s">
        <v>319</v>
      </c>
      <c r="K353" s="82" t="s">
        <v>320</v>
      </c>
      <c r="L353" s="82" t="s">
        <v>321</v>
      </c>
      <c r="M353" s="82" t="s">
        <v>322</v>
      </c>
      <c r="N353" s="82" t="s">
        <v>323</v>
      </c>
      <c r="O353" s="82" t="s">
        <v>324</v>
      </c>
      <c r="P353" s="82" t="s">
        <v>325</v>
      </c>
      <c r="Q353" s="82" t="s">
        <v>326</v>
      </c>
      <c r="R353" s="82" t="s">
        <v>327</v>
      </c>
      <c r="S353" s="82" t="s">
        <v>328</v>
      </c>
      <c r="T353" s="82" t="s">
        <v>385</v>
      </c>
      <c r="U353" s="82"/>
      <c r="V353" s="82"/>
      <c r="W353" s="82"/>
      <c r="X353" s="82"/>
      <c r="Y353" s="82"/>
      <c r="Z353" s="82"/>
      <c r="AA353" s="82"/>
      <c r="AB353" s="83" t="s">
        <v>670</v>
      </c>
      <c r="AC353" s="83" t="s">
        <v>672</v>
      </c>
    </row>
    <row r="354" spans="1:29" ht="15" customHeight="1">
      <c r="A354" s="81">
        <v>353</v>
      </c>
      <c r="B354" s="81" t="s">
        <v>663</v>
      </c>
      <c r="C354" s="82" t="s">
        <v>824</v>
      </c>
      <c r="D354" s="82" t="s">
        <v>344</v>
      </c>
      <c r="E354" s="82" t="s">
        <v>345</v>
      </c>
      <c r="F354" s="82" t="s">
        <v>349</v>
      </c>
      <c r="G354" s="82" t="s">
        <v>347</v>
      </c>
      <c r="H354" s="82" t="s">
        <v>317</v>
      </c>
      <c r="I354" s="82" t="s">
        <v>318</v>
      </c>
      <c r="J354" s="82" t="s">
        <v>319</v>
      </c>
      <c r="K354" s="82" t="s">
        <v>320</v>
      </c>
      <c r="L354" s="82" t="s">
        <v>321</v>
      </c>
      <c r="M354" s="82" t="s">
        <v>322</v>
      </c>
      <c r="N354" s="82" t="s">
        <v>323</v>
      </c>
      <c r="O354" s="82" t="s">
        <v>324</v>
      </c>
      <c r="P354" s="82" t="s">
        <v>325</v>
      </c>
      <c r="Q354" s="82" t="s">
        <v>326</v>
      </c>
      <c r="R354" s="82" t="s">
        <v>327</v>
      </c>
      <c r="S354" s="82" t="s">
        <v>328</v>
      </c>
      <c r="T354" s="82" t="s">
        <v>329</v>
      </c>
      <c r="U354" s="82"/>
      <c r="V354" s="82"/>
      <c r="W354" s="82"/>
      <c r="X354" s="82"/>
      <c r="Y354" s="82"/>
      <c r="Z354" s="82"/>
      <c r="AA354" s="82"/>
      <c r="AB354" s="83" t="s">
        <v>670</v>
      </c>
      <c r="AC354" s="83" t="s">
        <v>672</v>
      </c>
    </row>
    <row r="355" spans="1:29" ht="15" customHeight="1">
      <c r="A355" s="81">
        <v>354</v>
      </c>
      <c r="B355" s="81" t="s">
        <v>663</v>
      </c>
      <c r="C355" s="82" t="s">
        <v>825</v>
      </c>
      <c r="D355" s="82" t="s">
        <v>344</v>
      </c>
      <c r="E355" s="82" t="s">
        <v>345</v>
      </c>
      <c r="F355" s="82" t="s">
        <v>349</v>
      </c>
      <c r="G355" s="82" t="s">
        <v>347</v>
      </c>
      <c r="H355" s="82" t="s">
        <v>317</v>
      </c>
      <c r="I355" s="82" t="s">
        <v>318</v>
      </c>
      <c r="J355" s="82" t="s">
        <v>319</v>
      </c>
      <c r="K355" s="82" t="s">
        <v>320</v>
      </c>
      <c r="L355" s="82" t="s">
        <v>321</v>
      </c>
      <c r="M355" s="82" t="s">
        <v>322</v>
      </c>
      <c r="N355" s="82" t="s">
        <v>323</v>
      </c>
      <c r="O355" s="82" t="s">
        <v>324</v>
      </c>
      <c r="P355" s="82" t="s">
        <v>325</v>
      </c>
      <c r="Q355" s="82" t="s">
        <v>326</v>
      </c>
      <c r="R355" s="82" t="s">
        <v>327</v>
      </c>
      <c r="S355" s="82" t="s">
        <v>328</v>
      </c>
      <c r="T355" s="82" t="s">
        <v>329</v>
      </c>
      <c r="U355" s="82" t="s">
        <v>385</v>
      </c>
      <c r="V355" s="82"/>
      <c r="W355" s="82"/>
      <c r="X355" s="82"/>
      <c r="Y355" s="82"/>
      <c r="Z355" s="82"/>
      <c r="AA355" s="82"/>
      <c r="AB355" s="83" t="s">
        <v>670</v>
      </c>
      <c r="AC355" s="83" t="s">
        <v>672</v>
      </c>
    </row>
    <row r="356" spans="1:29" ht="15" customHeight="1">
      <c r="A356" s="81">
        <v>355</v>
      </c>
      <c r="B356" s="81" t="s">
        <v>663</v>
      </c>
      <c r="C356" s="82" t="s">
        <v>826</v>
      </c>
      <c r="D356" s="82" t="s">
        <v>344</v>
      </c>
      <c r="E356" s="82" t="s">
        <v>345</v>
      </c>
      <c r="F356" s="82" t="s">
        <v>349</v>
      </c>
      <c r="G356" s="82" t="s">
        <v>347</v>
      </c>
      <c r="H356" s="82" t="s">
        <v>317</v>
      </c>
      <c r="I356" s="82" t="s">
        <v>318</v>
      </c>
      <c r="J356" s="82" t="s">
        <v>319</v>
      </c>
      <c r="K356" s="82" t="s">
        <v>320</v>
      </c>
      <c r="L356" s="82" t="s">
        <v>321</v>
      </c>
      <c r="M356" s="82" t="s">
        <v>322</v>
      </c>
      <c r="N356" s="82" t="s">
        <v>323</v>
      </c>
      <c r="O356" s="82" t="s">
        <v>324</v>
      </c>
      <c r="P356" s="82" t="s">
        <v>325</v>
      </c>
      <c r="Q356" s="82" t="s">
        <v>326</v>
      </c>
      <c r="R356" s="82" t="s">
        <v>327</v>
      </c>
      <c r="S356" s="82" t="s">
        <v>328</v>
      </c>
      <c r="T356" s="82" t="s">
        <v>329</v>
      </c>
      <c r="U356" s="82" t="s">
        <v>385</v>
      </c>
      <c r="V356" s="82"/>
      <c r="W356" s="82"/>
      <c r="X356" s="82"/>
      <c r="Y356" s="82"/>
      <c r="Z356" s="82"/>
      <c r="AA356" s="82"/>
      <c r="AB356" s="83" t="s">
        <v>670</v>
      </c>
      <c r="AC356" s="83" t="s">
        <v>672</v>
      </c>
    </row>
    <row r="357" spans="1:29" ht="15" customHeight="1">
      <c r="A357" s="81">
        <v>356</v>
      </c>
      <c r="B357" s="81" t="s">
        <v>663</v>
      </c>
      <c r="C357" s="82" t="s">
        <v>827</v>
      </c>
      <c r="D357" s="82" t="s">
        <v>344</v>
      </c>
      <c r="E357" s="82" t="s">
        <v>345</v>
      </c>
      <c r="F357" s="82" t="s">
        <v>349</v>
      </c>
      <c r="G357" s="82" t="s">
        <v>347</v>
      </c>
      <c r="H357" s="82" t="s">
        <v>317</v>
      </c>
      <c r="I357" s="82" t="s">
        <v>318</v>
      </c>
      <c r="J357" s="82" t="s">
        <v>319</v>
      </c>
      <c r="K357" s="82" t="s">
        <v>320</v>
      </c>
      <c r="L357" s="82" t="s">
        <v>321</v>
      </c>
      <c r="M357" s="82" t="s">
        <v>322</v>
      </c>
      <c r="N357" s="82" t="s">
        <v>323</v>
      </c>
      <c r="O357" s="82" t="s">
        <v>324</v>
      </c>
      <c r="P357" s="82" t="s">
        <v>325</v>
      </c>
      <c r="Q357" s="82" t="s">
        <v>326</v>
      </c>
      <c r="R357" s="82" t="s">
        <v>327</v>
      </c>
      <c r="S357" s="82" t="s">
        <v>328</v>
      </c>
      <c r="T357" s="82" t="s">
        <v>329</v>
      </c>
      <c r="U357" s="82" t="s">
        <v>330</v>
      </c>
      <c r="V357" s="82"/>
      <c r="W357" s="82"/>
      <c r="X357" s="82"/>
      <c r="Y357" s="82"/>
      <c r="Z357" s="82"/>
      <c r="AA357" s="82"/>
      <c r="AB357" s="83" t="s">
        <v>670</v>
      </c>
      <c r="AC357" s="83" t="s">
        <v>672</v>
      </c>
    </row>
    <row r="358" spans="1:29" ht="15" customHeight="1">
      <c r="A358" s="81">
        <v>357</v>
      </c>
      <c r="B358" s="81" t="s">
        <v>663</v>
      </c>
      <c r="C358" s="82" t="s">
        <v>828</v>
      </c>
      <c r="D358" s="82" t="s">
        <v>344</v>
      </c>
      <c r="E358" s="82" t="s">
        <v>345</v>
      </c>
      <c r="F358" s="82" t="s">
        <v>349</v>
      </c>
      <c r="G358" s="82" t="s">
        <v>347</v>
      </c>
      <c r="H358" s="82" t="s">
        <v>317</v>
      </c>
      <c r="I358" s="82" t="s">
        <v>318</v>
      </c>
      <c r="J358" s="82" t="s">
        <v>319</v>
      </c>
      <c r="K358" s="82" t="s">
        <v>320</v>
      </c>
      <c r="L358" s="82" t="s">
        <v>321</v>
      </c>
      <c r="M358" s="82" t="s">
        <v>322</v>
      </c>
      <c r="N358" s="82" t="s">
        <v>323</v>
      </c>
      <c r="O358" s="82" t="s">
        <v>324</v>
      </c>
      <c r="P358" s="82" t="s">
        <v>325</v>
      </c>
      <c r="Q358" s="82" t="s">
        <v>326</v>
      </c>
      <c r="R358" s="82" t="s">
        <v>327</v>
      </c>
      <c r="S358" s="82" t="s">
        <v>328</v>
      </c>
      <c r="T358" s="82" t="s">
        <v>329</v>
      </c>
      <c r="U358" s="82" t="s">
        <v>330</v>
      </c>
      <c r="V358" s="82" t="s">
        <v>385</v>
      </c>
      <c r="W358" s="82"/>
      <c r="X358" s="82"/>
      <c r="Y358" s="82"/>
      <c r="Z358" s="82"/>
      <c r="AA358" s="82"/>
      <c r="AB358" s="83" t="s">
        <v>670</v>
      </c>
      <c r="AC358" s="83" t="s">
        <v>672</v>
      </c>
    </row>
    <row r="359" spans="1:29" ht="15" customHeight="1">
      <c r="A359" s="81">
        <v>358</v>
      </c>
      <c r="B359" s="81" t="s">
        <v>663</v>
      </c>
      <c r="C359" s="82" t="s">
        <v>829</v>
      </c>
      <c r="D359" s="82" t="s">
        <v>344</v>
      </c>
      <c r="E359" s="82" t="s">
        <v>345</v>
      </c>
      <c r="F359" s="82" t="s">
        <v>349</v>
      </c>
      <c r="G359" s="82" t="s">
        <v>347</v>
      </c>
      <c r="H359" s="82" t="s">
        <v>317</v>
      </c>
      <c r="I359" s="82" t="s">
        <v>318</v>
      </c>
      <c r="J359" s="82" t="s">
        <v>319</v>
      </c>
      <c r="K359" s="82" t="s">
        <v>320</v>
      </c>
      <c r="L359" s="82" t="s">
        <v>321</v>
      </c>
      <c r="M359" s="82" t="s">
        <v>322</v>
      </c>
      <c r="N359" s="82" t="s">
        <v>323</v>
      </c>
      <c r="O359" s="82" t="s">
        <v>324</v>
      </c>
      <c r="P359" s="82" t="s">
        <v>325</v>
      </c>
      <c r="Q359" s="82" t="s">
        <v>326</v>
      </c>
      <c r="R359" s="82" t="s">
        <v>327</v>
      </c>
      <c r="S359" s="82" t="s">
        <v>328</v>
      </c>
      <c r="T359" s="82" t="s">
        <v>329</v>
      </c>
      <c r="U359" s="82" t="s">
        <v>330</v>
      </c>
      <c r="V359" s="82"/>
      <c r="W359" s="82"/>
      <c r="X359" s="82"/>
      <c r="Y359" s="82"/>
      <c r="Z359" s="82"/>
      <c r="AA359" s="82"/>
      <c r="AB359" s="83" t="s">
        <v>670</v>
      </c>
      <c r="AC359" s="83" t="s">
        <v>672</v>
      </c>
    </row>
    <row r="360" spans="1:29" ht="15" customHeight="1">
      <c r="A360" s="81">
        <v>359</v>
      </c>
      <c r="B360" s="81" t="s">
        <v>663</v>
      </c>
      <c r="C360" s="82" t="s">
        <v>830</v>
      </c>
      <c r="D360" s="82" t="s">
        <v>344</v>
      </c>
      <c r="E360" s="82" t="s">
        <v>345</v>
      </c>
      <c r="F360" s="82" t="s">
        <v>349</v>
      </c>
      <c r="G360" s="82" t="s">
        <v>347</v>
      </c>
      <c r="H360" s="82" t="s">
        <v>317</v>
      </c>
      <c r="I360" s="82" t="s">
        <v>318</v>
      </c>
      <c r="J360" s="82" t="s">
        <v>319</v>
      </c>
      <c r="K360" s="82" t="s">
        <v>320</v>
      </c>
      <c r="L360" s="82" t="s">
        <v>321</v>
      </c>
      <c r="M360" s="82" t="s">
        <v>322</v>
      </c>
      <c r="N360" s="82" t="s">
        <v>323</v>
      </c>
      <c r="O360" s="82" t="s">
        <v>324</v>
      </c>
      <c r="P360" s="82" t="s">
        <v>325</v>
      </c>
      <c r="Q360" s="82" t="s">
        <v>326</v>
      </c>
      <c r="R360" s="82" t="s">
        <v>327</v>
      </c>
      <c r="S360" s="82" t="s">
        <v>328</v>
      </c>
      <c r="T360" s="82" t="s">
        <v>329</v>
      </c>
      <c r="U360" s="82" t="s">
        <v>330</v>
      </c>
      <c r="V360" s="82" t="s">
        <v>385</v>
      </c>
      <c r="W360" s="82"/>
      <c r="X360" s="82"/>
      <c r="Y360" s="82"/>
      <c r="Z360" s="82"/>
      <c r="AA360" s="82"/>
      <c r="AB360" s="83" t="s">
        <v>670</v>
      </c>
      <c r="AC360" s="83" t="s">
        <v>672</v>
      </c>
    </row>
    <row r="361" spans="1:29" ht="15" customHeight="1">
      <c r="A361" s="81">
        <v>360</v>
      </c>
      <c r="B361" s="81" t="s">
        <v>663</v>
      </c>
      <c r="C361" s="82" t="s">
        <v>831</v>
      </c>
      <c r="D361" s="82" t="s">
        <v>344</v>
      </c>
      <c r="E361" s="82" t="s">
        <v>345</v>
      </c>
      <c r="F361" s="82" t="s">
        <v>349</v>
      </c>
      <c r="G361" s="82" t="s">
        <v>347</v>
      </c>
      <c r="H361" s="82" t="s">
        <v>317</v>
      </c>
      <c r="I361" s="82" t="s">
        <v>318</v>
      </c>
      <c r="J361" s="82" t="s">
        <v>319</v>
      </c>
      <c r="K361" s="82" t="s">
        <v>320</v>
      </c>
      <c r="L361" s="82" t="s">
        <v>321</v>
      </c>
      <c r="M361" s="82" t="s">
        <v>322</v>
      </c>
      <c r="N361" s="82" t="s">
        <v>323</v>
      </c>
      <c r="O361" s="82" t="s">
        <v>324</v>
      </c>
      <c r="P361" s="82" t="s">
        <v>325</v>
      </c>
      <c r="Q361" s="82" t="s">
        <v>326</v>
      </c>
      <c r="R361" s="82" t="s">
        <v>327</v>
      </c>
      <c r="S361" s="82" t="s">
        <v>328</v>
      </c>
      <c r="T361" s="82" t="s">
        <v>329</v>
      </c>
      <c r="U361" s="82" t="s">
        <v>330</v>
      </c>
      <c r="V361" s="82" t="s">
        <v>331</v>
      </c>
      <c r="W361" s="82"/>
      <c r="X361" s="82"/>
      <c r="Y361" s="82"/>
      <c r="Z361" s="82"/>
      <c r="AA361" s="82"/>
      <c r="AB361" s="83" t="s">
        <v>670</v>
      </c>
      <c r="AC361" s="83" t="s">
        <v>672</v>
      </c>
    </row>
    <row r="362" spans="1:29" ht="15" customHeight="1">
      <c r="A362" s="81">
        <v>361</v>
      </c>
      <c r="B362" s="81" t="s">
        <v>663</v>
      </c>
      <c r="C362" s="82" t="s">
        <v>832</v>
      </c>
      <c r="D362" s="82" t="s">
        <v>344</v>
      </c>
      <c r="E362" s="82" t="s">
        <v>345</v>
      </c>
      <c r="F362" s="82" t="s">
        <v>349</v>
      </c>
      <c r="G362" s="82" t="s">
        <v>347</v>
      </c>
      <c r="H362" s="82" t="s">
        <v>317</v>
      </c>
      <c r="I362" s="82" t="s">
        <v>318</v>
      </c>
      <c r="J362" s="82" t="s">
        <v>319</v>
      </c>
      <c r="K362" s="82" t="s">
        <v>320</v>
      </c>
      <c r="L362" s="82" t="s">
        <v>321</v>
      </c>
      <c r="M362" s="82" t="s">
        <v>322</v>
      </c>
      <c r="N362" s="82" t="s">
        <v>323</v>
      </c>
      <c r="O362" s="82" t="s">
        <v>324</v>
      </c>
      <c r="P362" s="82" t="s">
        <v>325</v>
      </c>
      <c r="Q362" s="82" t="s">
        <v>326</v>
      </c>
      <c r="R362" s="82" t="s">
        <v>327</v>
      </c>
      <c r="S362" s="82" t="s">
        <v>328</v>
      </c>
      <c r="T362" s="82" t="s">
        <v>329</v>
      </c>
      <c r="U362" s="82" t="s">
        <v>330</v>
      </c>
      <c r="V362" s="82" t="s">
        <v>331</v>
      </c>
      <c r="W362" s="82" t="s">
        <v>385</v>
      </c>
      <c r="X362" s="82"/>
      <c r="Y362" s="82"/>
      <c r="Z362" s="82"/>
      <c r="AA362" s="82"/>
      <c r="AB362" s="83" t="s">
        <v>670</v>
      </c>
      <c r="AC362" s="83" t="s">
        <v>672</v>
      </c>
    </row>
    <row r="363" spans="1:29" ht="15" customHeight="1">
      <c r="A363" s="81">
        <v>362</v>
      </c>
      <c r="B363" s="81" t="s">
        <v>663</v>
      </c>
      <c r="C363" s="82" t="s">
        <v>833</v>
      </c>
      <c r="D363" s="82" t="s">
        <v>344</v>
      </c>
      <c r="E363" s="82" t="s">
        <v>345</v>
      </c>
      <c r="F363" s="82" t="s">
        <v>349</v>
      </c>
      <c r="G363" s="82" t="s">
        <v>347</v>
      </c>
      <c r="H363" s="82" t="s">
        <v>317</v>
      </c>
      <c r="I363" s="82" t="s">
        <v>318</v>
      </c>
      <c r="J363" s="82" t="s">
        <v>319</v>
      </c>
      <c r="K363" s="82" t="s">
        <v>320</v>
      </c>
      <c r="L363" s="82" t="s">
        <v>321</v>
      </c>
      <c r="M363" s="82" t="s">
        <v>322</v>
      </c>
      <c r="N363" s="82" t="s">
        <v>323</v>
      </c>
      <c r="O363" s="82" t="s">
        <v>324</v>
      </c>
      <c r="P363" s="82" t="s">
        <v>325</v>
      </c>
      <c r="Q363" s="82" t="s">
        <v>326</v>
      </c>
      <c r="R363" s="82" t="s">
        <v>327</v>
      </c>
      <c r="S363" s="82" t="s">
        <v>328</v>
      </c>
      <c r="T363" s="82" t="s">
        <v>329</v>
      </c>
      <c r="U363" s="82" t="s">
        <v>330</v>
      </c>
      <c r="V363" s="82" t="s">
        <v>331</v>
      </c>
      <c r="W363" s="82"/>
      <c r="X363" s="82"/>
      <c r="Y363" s="82"/>
      <c r="Z363" s="82"/>
      <c r="AA363" s="82"/>
      <c r="AB363" s="83" t="s">
        <v>670</v>
      </c>
      <c r="AC363" s="83" t="s">
        <v>672</v>
      </c>
    </row>
    <row r="364" spans="1:29" ht="15" customHeight="1">
      <c r="A364" s="81">
        <v>363</v>
      </c>
      <c r="B364" s="81" t="s">
        <v>663</v>
      </c>
      <c r="C364" s="82" t="s">
        <v>834</v>
      </c>
      <c r="D364" s="82" t="s">
        <v>344</v>
      </c>
      <c r="E364" s="82" t="s">
        <v>345</v>
      </c>
      <c r="F364" s="82" t="s">
        <v>349</v>
      </c>
      <c r="G364" s="82" t="s">
        <v>347</v>
      </c>
      <c r="H364" s="82" t="s">
        <v>317</v>
      </c>
      <c r="I364" s="82" t="s">
        <v>318</v>
      </c>
      <c r="J364" s="82" t="s">
        <v>319</v>
      </c>
      <c r="K364" s="82" t="s">
        <v>320</v>
      </c>
      <c r="L364" s="82" t="s">
        <v>321</v>
      </c>
      <c r="M364" s="82" t="s">
        <v>322</v>
      </c>
      <c r="N364" s="82" t="s">
        <v>323</v>
      </c>
      <c r="O364" s="82" t="s">
        <v>324</v>
      </c>
      <c r="P364" s="82" t="s">
        <v>325</v>
      </c>
      <c r="Q364" s="82" t="s">
        <v>326</v>
      </c>
      <c r="R364" s="82" t="s">
        <v>327</v>
      </c>
      <c r="S364" s="82" t="s">
        <v>328</v>
      </c>
      <c r="T364" s="82" t="s">
        <v>329</v>
      </c>
      <c r="U364" s="82" t="s">
        <v>330</v>
      </c>
      <c r="V364" s="82" t="s">
        <v>331</v>
      </c>
      <c r="W364" s="82" t="s">
        <v>385</v>
      </c>
      <c r="X364" s="82"/>
      <c r="Y364" s="82"/>
      <c r="Z364" s="82"/>
      <c r="AA364" s="82"/>
      <c r="AB364" s="83" t="s">
        <v>670</v>
      </c>
      <c r="AC364" s="83" t="s">
        <v>672</v>
      </c>
    </row>
    <row r="365" spans="1:29" ht="15" customHeight="1">
      <c r="A365" s="81">
        <v>364</v>
      </c>
      <c r="B365" s="81" t="s">
        <v>663</v>
      </c>
      <c r="C365" s="82" t="s">
        <v>835</v>
      </c>
      <c r="D365" s="82" t="s">
        <v>344</v>
      </c>
      <c r="E365" s="82" t="s">
        <v>345</v>
      </c>
      <c r="F365" s="82" t="s">
        <v>349</v>
      </c>
      <c r="G365" s="82" t="s">
        <v>347</v>
      </c>
      <c r="H365" s="82" t="s">
        <v>317</v>
      </c>
      <c r="I365" s="82" t="s">
        <v>318</v>
      </c>
      <c r="J365" s="82" t="s">
        <v>319</v>
      </c>
      <c r="K365" s="82" t="s">
        <v>320</v>
      </c>
      <c r="L365" s="82" t="s">
        <v>321</v>
      </c>
      <c r="M365" s="82" t="s">
        <v>322</v>
      </c>
      <c r="N365" s="82" t="s">
        <v>323</v>
      </c>
      <c r="O365" s="82" t="s">
        <v>324</v>
      </c>
      <c r="P365" s="82" t="s">
        <v>325</v>
      </c>
      <c r="Q365" s="82" t="s">
        <v>326</v>
      </c>
      <c r="R365" s="82" t="s">
        <v>327</v>
      </c>
      <c r="S365" s="82" t="s">
        <v>328</v>
      </c>
      <c r="T365" s="82" t="s">
        <v>329</v>
      </c>
      <c r="U365" s="82" t="s">
        <v>330</v>
      </c>
      <c r="V365" s="82" t="s">
        <v>331</v>
      </c>
      <c r="W365" s="82" t="s">
        <v>332</v>
      </c>
      <c r="X365" s="82"/>
      <c r="Y365" s="82"/>
      <c r="Z365" s="82"/>
      <c r="AA365" s="82"/>
      <c r="AB365" s="83" t="s">
        <v>670</v>
      </c>
      <c r="AC365" s="83" t="s">
        <v>672</v>
      </c>
    </row>
    <row r="366" spans="1:29" ht="15" customHeight="1">
      <c r="A366" s="81">
        <v>365</v>
      </c>
      <c r="B366" s="81" t="s">
        <v>663</v>
      </c>
      <c r="C366" s="82" t="s">
        <v>836</v>
      </c>
      <c r="D366" s="82" t="s">
        <v>344</v>
      </c>
      <c r="E366" s="82" t="s">
        <v>345</v>
      </c>
      <c r="F366" s="82" t="s">
        <v>349</v>
      </c>
      <c r="G366" s="82" t="s">
        <v>347</v>
      </c>
      <c r="H366" s="82" t="s">
        <v>317</v>
      </c>
      <c r="I366" s="82" t="s">
        <v>318</v>
      </c>
      <c r="J366" s="82" t="s">
        <v>319</v>
      </c>
      <c r="K366" s="82" t="s">
        <v>320</v>
      </c>
      <c r="L366" s="82" t="s">
        <v>321</v>
      </c>
      <c r="M366" s="82" t="s">
        <v>322</v>
      </c>
      <c r="N366" s="82" t="s">
        <v>323</v>
      </c>
      <c r="O366" s="82" t="s">
        <v>324</v>
      </c>
      <c r="P366" s="82" t="s">
        <v>325</v>
      </c>
      <c r="Q366" s="82" t="s">
        <v>326</v>
      </c>
      <c r="R366" s="82" t="s">
        <v>327</v>
      </c>
      <c r="S366" s="82" t="s">
        <v>328</v>
      </c>
      <c r="T366" s="82" t="s">
        <v>329</v>
      </c>
      <c r="U366" s="82" t="s">
        <v>330</v>
      </c>
      <c r="V366" s="82" t="s">
        <v>331</v>
      </c>
      <c r="W366" s="82" t="s">
        <v>332</v>
      </c>
      <c r="X366" s="82" t="s">
        <v>385</v>
      </c>
      <c r="Y366" s="82"/>
      <c r="Z366" s="82"/>
      <c r="AA366" s="82"/>
      <c r="AB366" s="83" t="s">
        <v>670</v>
      </c>
      <c r="AC366" s="83" t="s">
        <v>672</v>
      </c>
    </row>
    <row r="367" spans="1:29" ht="15" customHeight="1">
      <c r="A367" s="81">
        <v>366</v>
      </c>
      <c r="B367" s="81" t="s">
        <v>663</v>
      </c>
      <c r="C367" s="82" t="s">
        <v>837</v>
      </c>
      <c r="D367" s="82" t="s">
        <v>344</v>
      </c>
      <c r="E367" s="82" t="s">
        <v>345</v>
      </c>
      <c r="F367" s="82" t="s">
        <v>349</v>
      </c>
      <c r="G367" s="82" t="s">
        <v>347</v>
      </c>
      <c r="H367" s="82" t="s">
        <v>317</v>
      </c>
      <c r="I367" s="82" t="s">
        <v>318</v>
      </c>
      <c r="J367" s="82" t="s">
        <v>319</v>
      </c>
      <c r="K367" s="82" t="s">
        <v>320</v>
      </c>
      <c r="L367" s="82" t="s">
        <v>321</v>
      </c>
      <c r="M367" s="82" t="s">
        <v>322</v>
      </c>
      <c r="N367" s="82" t="s">
        <v>323</v>
      </c>
      <c r="O367" s="82" t="s">
        <v>324</v>
      </c>
      <c r="P367" s="82" t="s">
        <v>325</v>
      </c>
      <c r="Q367" s="82" t="s">
        <v>326</v>
      </c>
      <c r="R367" s="82" t="s">
        <v>327</v>
      </c>
      <c r="S367" s="82" t="s">
        <v>328</v>
      </c>
      <c r="T367" s="82" t="s">
        <v>329</v>
      </c>
      <c r="U367" s="82" t="s">
        <v>330</v>
      </c>
      <c r="V367" s="82" t="s">
        <v>331</v>
      </c>
      <c r="W367" s="82" t="s">
        <v>332</v>
      </c>
      <c r="X367" s="82"/>
      <c r="Y367" s="82"/>
      <c r="Z367" s="82"/>
      <c r="AA367" s="82"/>
      <c r="AB367" s="83" t="s">
        <v>670</v>
      </c>
      <c r="AC367" s="83" t="s">
        <v>672</v>
      </c>
    </row>
    <row r="368" spans="1:29" ht="15" customHeight="1">
      <c r="A368" s="81">
        <v>367</v>
      </c>
      <c r="B368" s="81" t="s">
        <v>663</v>
      </c>
      <c r="C368" s="82" t="s">
        <v>838</v>
      </c>
      <c r="D368" s="82" t="s">
        <v>344</v>
      </c>
      <c r="E368" s="82" t="s">
        <v>345</v>
      </c>
      <c r="F368" s="82" t="s">
        <v>349</v>
      </c>
      <c r="G368" s="82" t="s">
        <v>347</v>
      </c>
      <c r="H368" s="82" t="s">
        <v>317</v>
      </c>
      <c r="I368" s="82" t="s">
        <v>318</v>
      </c>
      <c r="J368" s="82" t="s">
        <v>319</v>
      </c>
      <c r="K368" s="82" t="s">
        <v>320</v>
      </c>
      <c r="L368" s="82" t="s">
        <v>321</v>
      </c>
      <c r="M368" s="82" t="s">
        <v>322</v>
      </c>
      <c r="N368" s="82" t="s">
        <v>323</v>
      </c>
      <c r="O368" s="82" t="s">
        <v>324</v>
      </c>
      <c r="P368" s="82" t="s">
        <v>325</v>
      </c>
      <c r="Q368" s="82" t="s">
        <v>326</v>
      </c>
      <c r="R368" s="82" t="s">
        <v>327</v>
      </c>
      <c r="S368" s="82" t="s">
        <v>328</v>
      </c>
      <c r="T368" s="82" t="s">
        <v>329</v>
      </c>
      <c r="U368" s="82" t="s">
        <v>330</v>
      </c>
      <c r="V368" s="82" t="s">
        <v>331</v>
      </c>
      <c r="W368" s="82" t="s">
        <v>332</v>
      </c>
      <c r="X368" s="82" t="s">
        <v>385</v>
      </c>
      <c r="Y368" s="82"/>
      <c r="Z368" s="82"/>
      <c r="AA368" s="82"/>
      <c r="AB368" s="83" t="s">
        <v>670</v>
      </c>
      <c r="AC368" s="83" t="s">
        <v>672</v>
      </c>
    </row>
    <row r="369" spans="1:29" ht="15" customHeight="1">
      <c r="A369" s="81">
        <v>368</v>
      </c>
      <c r="B369" s="81" t="s">
        <v>663</v>
      </c>
      <c r="C369" s="82" t="s">
        <v>839</v>
      </c>
      <c r="D369" s="82" t="s">
        <v>344</v>
      </c>
      <c r="E369" s="82" t="s">
        <v>345</v>
      </c>
      <c r="F369" s="82" t="s">
        <v>349</v>
      </c>
      <c r="G369" s="82" t="s">
        <v>347</v>
      </c>
      <c r="H369" s="82" t="s">
        <v>317</v>
      </c>
      <c r="I369" s="82" t="s">
        <v>318</v>
      </c>
      <c r="J369" s="82" t="s">
        <v>319</v>
      </c>
      <c r="K369" s="82" t="s">
        <v>320</v>
      </c>
      <c r="L369" s="82" t="s">
        <v>321</v>
      </c>
      <c r="M369" s="82" t="s">
        <v>322</v>
      </c>
      <c r="N369" s="82" t="s">
        <v>323</v>
      </c>
      <c r="O369" s="82" t="s">
        <v>324</v>
      </c>
      <c r="P369" s="82" t="s">
        <v>325</v>
      </c>
      <c r="Q369" s="82" t="s">
        <v>326</v>
      </c>
      <c r="R369" s="82" t="s">
        <v>327</v>
      </c>
      <c r="S369" s="82" t="s">
        <v>328</v>
      </c>
      <c r="T369" s="82" t="s">
        <v>329</v>
      </c>
      <c r="U369" s="82" t="s">
        <v>330</v>
      </c>
      <c r="V369" s="82" t="s">
        <v>331</v>
      </c>
      <c r="W369" s="82" t="s">
        <v>332</v>
      </c>
      <c r="X369" s="82" t="s">
        <v>333</v>
      </c>
      <c r="Y369" s="82"/>
      <c r="Z369" s="82"/>
      <c r="AA369" s="82"/>
      <c r="AB369" s="83" t="s">
        <v>670</v>
      </c>
      <c r="AC369" s="83" t="s">
        <v>672</v>
      </c>
    </row>
    <row r="370" spans="1:29" ht="15" customHeight="1">
      <c r="A370" s="81">
        <v>369</v>
      </c>
      <c r="B370" s="81" t="s">
        <v>663</v>
      </c>
      <c r="C370" s="82" t="s">
        <v>840</v>
      </c>
      <c r="D370" s="82" t="s">
        <v>344</v>
      </c>
      <c r="E370" s="82" t="s">
        <v>345</v>
      </c>
      <c r="F370" s="82" t="s">
        <v>349</v>
      </c>
      <c r="G370" s="82" t="s">
        <v>347</v>
      </c>
      <c r="H370" s="82" t="s">
        <v>317</v>
      </c>
      <c r="I370" s="82" t="s">
        <v>318</v>
      </c>
      <c r="J370" s="82" t="s">
        <v>319</v>
      </c>
      <c r="K370" s="82" t="s">
        <v>320</v>
      </c>
      <c r="L370" s="82" t="s">
        <v>321</v>
      </c>
      <c r="M370" s="82" t="s">
        <v>322</v>
      </c>
      <c r="N370" s="82" t="s">
        <v>323</v>
      </c>
      <c r="O370" s="82" t="s">
        <v>324</v>
      </c>
      <c r="P370" s="82" t="s">
        <v>325</v>
      </c>
      <c r="Q370" s="82" t="s">
        <v>326</v>
      </c>
      <c r="R370" s="82" t="s">
        <v>327</v>
      </c>
      <c r="S370" s="82" t="s">
        <v>328</v>
      </c>
      <c r="T370" s="82" t="s">
        <v>329</v>
      </c>
      <c r="U370" s="82" t="s">
        <v>330</v>
      </c>
      <c r="V370" s="82" t="s">
        <v>331</v>
      </c>
      <c r="W370" s="82" t="s">
        <v>332</v>
      </c>
      <c r="X370" s="82" t="s">
        <v>333</v>
      </c>
      <c r="Y370" s="82" t="s">
        <v>385</v>
      </c>
      <c r="Z370" s="82"/>
      <c r="AA370" s="82"/>
      <c r="AB370" s="83" t="s">
        <v>670</v>
      </c>
      <c r="AC370" s="83" t="s">
        <v>672</v>
      </c>
    </row>
    <row r="371" spans="1:29" ht="15" customHeight="1">
      <c r="A371" s="81">
        <v>370</v>
      </c>
      <c r="B371" s="81" t="s">
        <v>663</v>
      </c>
      <c r="C371" s="82" t="s">
        <v>841</v>
      </c>
      <c r="D371" s="82" t="s">
        <v>344</v>
      </c>
      <c r="E371" s="82" t="s">
        <v>345</v>
      </c>
      <c r="F371" s="82" t="s">
        <v>349</v>
      </c>
      <c r="G371" s="82" t="s">
        <v>347</v>
      </c>
      <c r="H371" s="82" t="s">
        <v>317</v>
      </c>
      <c r="I371" s="82" t="s">
        <v>318</v>
      </c>
      <c r="J371" s="82" t="s">
        <v>319</v>
      </c>
      <c r="K371" s="82" t="s">
        <v>320</v>
      </c>
      <c r="L371" s="82" t="s">
        <v>321</v>
      </c>
      <c r="M371" s="82" t="s">
        <v>322</v>
      </c>
      <c r="N371" s="82" t="s">
        <v>323</v>
      </c>
      <c r="O371" s="82" t="s">
        <v>324</v>
      </c>
      <c r="P371" s="82" t="s">
        <v>325</v>
      </c>
      <c r="Q371" s="82" t="s">
        <v>326</v>
      </c>
      <c r="R371" s="82" t="s">
        <v>327</v>
      </c>
      <c r="S371" s="82" t="s">
        <v>328</v>
      </c>
      <c r="T371" s="82" t="s">
        <v>329</v>
      </c>
      <c r="U371" s="82" t="s">
        <v>330</v>
      </c>
      <c r="V371" s="82" t="s">
        <v>331</v>
      </c>
      <c r="W371" s="82" t="s">
        <v>332</v>
      </c>
      <c r="X371" s="82" t="s">
        <v>333</v>
      </c>
      <c r="Y371" s="82"/>
      <c r="Z371" s="82"/>
      <c r="AA371" s="82"/>
      <c r="AB371" s="83" t="s">
        <v>670</v>
      </c>
      <c r="AC371" s="83" t="s">
        <v>672</v>
      </c>
    </row>
    <row r="372" spans="1:29" ht="15" customHeight="1">
      <c r="A372" s="81">
        <v>371</v>
      </c>
      <c r="B372" s="81" t="s">
        <v>663</v>
      </c>
      <c r="C372" s="82" t="s">
        <v>842</v>
      </c>
      <c r="D372" s="82" t="s">
        <v>344</v>
      </c>
      <c r="E372" s="82" t="s">
        <v>345</v>
      </c>
      <c r="F372" s="82" t="s">
        <v>349</v>
      </c>
      <c r="G372" s="82" t="s">
        <v>347</v>
      </c>
      <c r="H372" s="82" t="s">
        <v>317</v>
      </c>
      <c r="I372" s="82" t="s">
        <v>318</v>
      </c>
      <c r="J372" s="82" t="s">
        <v>319</v>
      </c>
      <c r="K372" s="82" t="s">
        <v>320</v>
      </c>
      <c r="L372" s="82" t="s">
        <v>321</v>
      </c>
      <c r="M372" s="82" t="s">
        <v>322</v>
      </c>
      <c r="N372" s="82" t="s">
        <v>323</v>
      </c>
      <c r="O372" s="82" t="s">
        <v>324</v>
      </c>
      <c r="P372" s="82" t="s">
        <v>325</v>
      </c>
      <c r="Q372" s="82" t="s">
        <v>326</v>
      </c>
      <c r="R372" s="82" t="s">
        <v>327</v>
      </c>
      <c r="S372" s="82" t="s">
        <v>328</v>
      </c>
      <c r="T372" s="82" t="s">
        <v>329</v>
      </c>
      <c r="U372" s="82" t="s">
        <v>330</v>
      </c>
      <c r="V372" s="82" t="s">
        <v>331</v>
      </c>
      <c r="W372" s="82" t="s">
        <v>332</v>
      </c>
      <c r="X372" s="82" t="s">
        <v>333</v>
      </c>
      <c r="Y372" s="82" t="s">
        <v>385</v>
      </c>
      <c r="Z372" s="82"/>
      <c r="AA372" s="82"/>
      <c r="AB372" s="83" t="s">
        <v>670</v>
      </c>
      <c r="AC372" s="83" t="s">
        <v>672</v>
      </c>
    </row>
    <row r="373" spans="1:29" ht="15" customHeight="1">
      <c r="A373" s="81">
        <v>372</v>
      </c>
      <c r="B373" s="81" t="s">
        <v>663</v>
      </c>
      <c r="C373" s="82" t="s">
        <v>843</v>
      </c>
      <c r="D373" s="82" t="s">
        <v>344</v>
      </c>
      <c r="E373" s="82" t="s">
        <v>345</v>
      </c>
      <c r="F373" s="82" t="s">
        <v>349</v>
      </c>
      <c r="G373" s="82" t="s">
        <v>347</v>
      </c>
      <c r="H373" s="82" t="s">
        <v>317</v>
      </c>
      <c r="I373" s="82" t="s">
        <v>318</v>
      </c>
      <c r="J373" s="82" t="s">
        <v>319</v>
      </c>
      <c r="K373" s="82" t="s">
        <v>320</v>
      </c>
      <c r="L373" s="82" t="s">
        <v>321</v>
      </c>
      <c r="M373" s="82" t="s">
        <v>322</v>
      </c>
      <c r="N373" s="82" t="s">
        <v>323</v>
      </c>
      <c r="O373" s="82" t="s">
        <v>324</v>
      </c>
      <c r="P373" s="82" t="s">
        <v>325</v>
      </c>
      <c r="Q373" s="82" t="s">
        <v>326</v>
      </c>
      <c r="R373" s="82" t="s">
        <v>327</v>
      </c>
      <c r="S373" s="82" t="s">
        <v>328</v>
      </c>
      <c r="T373" s="82" t="s">
        <v>329</v>
      </c>
      <c r="U373" s="82" t="s">
        <v>330</v>
      </c>
      <c r="V373" s="82" t="s">
        <v>331</v>
      </c>
      <c r="W373" s="82" t="s">
        <v>332</v>
      </c>
      <c r="X373" s="82" t="s">
        <v>333</v>
      </c>
      <c r="Y373" s="82" t="s">
        <v>334</v>
      </c>
      <c r="Z373" s="82"/>
      <c r="AA373" s="82"/>
      <c r="AB373" s="83" t="s">
        <v>670</v>
      </c>
      <c r="AC373" s="83" t="s">
        <v>672</v>
      </c>
    </row>
    <row r="374" spans="1:29" ht="15" customHeight="1">
      <c r="A374" s="81">
        <v>373</v>
      </c>
      <c r="B374" s="81" t="s">
        <v>663</v>
      </c>
      <c r="C374" s="82" t="s">
        <v>844</v>
      </c>
      <c r="D374" s="82" t="s">
        <v>344</v>
      </c>
      <c r="E374" s="82" t="s">
        <v>345</v>
      </c>
      <c r="F374" s="82" t="s">
        <v>349</v>
      </c>
      <c r="G374" s="82" t="s">
        <v>347</v>
      </c>
      <c r="H374" s="82" t="s">
        <v>317</v>
      </c>
      <c r="I374" s="82" t="s">
        <v>318</v>
      </c>
      <c r="J374" s="82" t="s">
        <v>319</v>
      </c>
      <c r="K374" s="82" t="s">
        <v>320</v>
      </c>
      <c r="L374" s="82" t="s">
        <v>321</v>
      </c>
      <c r="M374" s="82" t="s">
        <v>322</v>
      </c>
      <c r="N374" s="82" t="s">
        <v>323</v>
      </c>
      <c r="O374" s="82" t="s">
        <v>324</v>
      </c>
      <c r="P374" s="82" t="s">
        <v>325</v>
      </c>
      <c r="Q374" s="82" t="s">
        <v>326</v>
      </c>
      <c r="R374" s="82" t="s">
        <v>327</v>
      </c>
      <c r="S374" s="82" t="s">
        <v>328</v>
      </c>
      <c r="T374" s="82" t="s">
        <v>329</v>
      </c>
      <c r="U374" s="82" t="s">
        <v>330</v>
      </c>
      <c r="V374" s="82" t="s">
        <v>331</v>
      </c>
      <c r="W374" s="82" t="s">
        <v>332</v>
      </c>
      <c r="X374" s="82" t="s">
        <v>333</v>
      </c>
      <c r="Y374" s="82" t="s">
        <v>334</v>
      </c>
      <c r="Z374" s="82" t="s">
        <v>385</v>
      </c>
      <c r="AA374" s="82"/>
      <c r="AB374" s="83" t="s">
        <v>670</v>
      </c>
      <c r="AC374" s="83" t="s">
        <v>672</v>
      </c>
    </row>
    <row r="375" spans="1:29" ht="15" customHeight="1">
      <c r="A375" s="81">
        <v>374</v>
      </c>
      <c r="B375" s="81" t="s">
        <v>663</v>
      </c>
      <c r="C375" s="82" t="s">
        <v>845</v>
      </c>
      <c r="D375" s="82" t="s">
        <v>344</v>
      </c>
      <c r="E375" s="82" t="s">
        <v>345</v>
      </c>
      <c r="F375" s="82" t="s">
        <v>349</v>
      </c>
      <c r="G375" s="82" t="s">
        <v>347</v>
      </c>
      <c r="H375" s="82" t="s">
        <v>317</v>
      </c>
      <c r="I375" s="82" t="s">
        <v>318</v>
      </c>
      <c r="J375" s="82" t="s">
        <v>319</v>
      </c>
      <c r="K375" s="82" t="s">
        <v>320</v>
      </c>
      <c r="L375" s="82" t="s">
        <v>321</v>
      </c>
      <c r="M375" s="82" t="s">
        <v>322</v>
      </c>
      <c r="N375" s="82" t="s">
        <v>323</v>
      </c>
      <c r="O375" s="82" t="s">
        <v>324</v>
      </c>
      <c r="P375" s="82" t="s">
        <v>325</v>
      </c>
      <c r="Q375" s="82" t="s">
        <v>326</v>
      </c>
      <c r="R375" s="82" t="s">
        <v>327</v>
      </c>
      <c r="S375" s="82" t="s">
        <v>328</v>
      </c>
      <c r="T375" s="82" t="s">
        <v>329</v>
      </c>
      <c r="U375" s="82" t="s">
        <v>330</v>
      </c>
      <c r="V375" s="82" t="s">
        <v>331</v>
      </c>
      <c r="W375" s="82" t="s">
        <v>332</v>
      </c>
      <c r="X375" s="82" t="s">
        <v>333</v>
      </c>
      <c r="Y375" s="82" t="s">
        <v>334</v>
      </c>
      <c r="Z375" s="82"/>
      <c r="AA375" s="82"/>
      <c r="AB375" s="83" t="s">
        <v>670</v>
      </c>
      <c r="AC375" s="83" t="s">
        <v>672</v>
      </c>
    </row>
    <row r="376" spans="1:29" ht="15" customHeight="1">
      <c r="A376" s="81">
        <v>375</v>
      </c>
      <c r="B376" s="81" t="s">
        <v>663</v>
      </c>
      <c r="C376" s="82" t="s">
        <v>846</v>
      </c>
      <c r="D376" s="82" t="s">
        <v>344</v>
      </c>
      <c r="E376" s="82" t="s">
        <v>345</v>
      </c>
      <c r="F376" s="82" t="s">
        <v>349</v>
      </c>
      <c r="G376" s="82" t="s">
        <v>347</v>
      </c>
      <c r="H376" s="82" t="s">
        <v>317</v>
      </c>
      <c r="I376" s="82" t="s">
        <v>318</v>
      </c>
      <c r="J376" s="82" t="s">
        <v>319</v>
      </c>
      <c r="K376" s="82" t="s">
        <v>320</v>
      </c>
      <c r="L376" s="82" t="s">
        <v>321</v>
      </c>
      <c r="M376" s="82" t="s">
        <v>322</v>
      </c>
      <c r="N376" s="82" t="s">
        <v>323</v>
      </c>
      <c r="O376" s="82" t="s">
        <v>324</v>
      </c>
      <c r="P376" s="82" t="s">
        <v>325</v>
      </c>
      <c r="Q376" s="82" t="s">
        <v>326</v>
      </c>
      <c r="R376" s="82" t="s">
        <v>327</v>
      </c>
      <c r="S376" s="82" t="s">
        <v>328</v>
      </c>
      <c r="T376" s="82" t="s">
        <v>329</v>
      </c>
      <c r="U376" s="82" t="s">
        <v>330</v>
      </c>
      <c r="V376" s="82" t="s">
        <v>331</v>
      </c>
      <c r="W376" s="82" t="s">
        <v>332</v>
      </c>
      <c r="X376" s="82" t="s">
        <v>333</v>
      </c>
      <c r="Y376" s="82" t="s">
        <v>334</v>
      </c>
      <c r="Z376" s="82" t="s">
        <v>385</v>
      </c>
      <c r="AA376" s="82"/>
      <c r="AB376" s="83" t="s">
        <v>670</v>
      </c>
      <c r="AC376" s="83" t="s">
        <v>672</v>
      </c>
    </row>
    <row r="377" spans="1:29" ht="15" customHeight="1">
      <c r="A377" s="81">
        <v>376</v>
      </c>
      <c r="B377" s="81" t="s">
        <v>663</v>
      </c>
      <c r="C377" s="82" t="s">
        <v>847</v>
      </c>
      <c r="D377" s="82" t="s">
        <v>344</v>
      </c>
      <c r="E377" s="82" t="s">
        <v>345</v>
      </c>
      <c r="F377" s="82" t="s">
        <v>349</v>
      </c>
      <c r="G377" s="82" t="s">
        <v>347</v>
      </c>
      <c r="H377" s="82" t="s">
        <v>317</v>
      </c>
      <c r="I377" s="82" t="s">
        <v>318</v>
      </c>
      <c r="J377" s="82" t="s">
        <v>319</v>
      </c>
      <c r="K377" s="82" t="s">
        <v>320</v>
      </c>
      <c r="L377" s="82" t="s">
        <v>321</v>
      </c>
      <c r="M377" s="82" t="s">
        <v>322</v>
      </c>
      <c r="N377" s="82" t="s">
        <v>323</v>
      </c>
      <c r="O377" s="82" t="s">
        <v>324</v>
      </c>
      <c r="P377" s="82" t="s">
        <v>325</v>
      </c>
      <c r="Q377" s="82" t="s">
        <v>326</v>
      </c>
      <c r="R377" s="82" t="s">
        <v>327</v>
      </c>
      <c r="S377" s="82" t="s">
        <v>328</v>
      </c>
      <c r="T377" s="82" t="s">
        <v>329</v>
      </c>
      <c r="U377" s="82" t="s">
        <v>330</v>
      </c>
      <c r="V377" s="82" t="s">
        <v>331</v>
      </c>
      <c r="W377" s="82" t="s">
        <v>332</v>
      </c>
      <c r="X377" s="82" t="s">
        <v>333</v>
      </c>
      <c r="Y377" s="82" t="s">
        <v>334</v>
      </c>
      <c r="Z377" s="82" t="s">
        <v>335</v>
      </c>
      <c r="AA377" s="82"/>
      <c r="AB377" s="83" t="s">
        <v>670</v>
      </c>
      <c r="AC377" s="83" t="s">
        <v>672</v>
      </c>
    </row>
    <row r="378" spans="1:29" ht="15" customHeight="1">
      <c r="A378" s="81">
        <v>377</v>
      </c>
      <c r="B378" s="81" t="s">
        <v>663</v>
      </c>
      <c r="C378" s="82" t="s">
        <v>848</v>
      </c>
      <c r="D378" s="82" t="s">
        <v>344</v>
      </c>
      <c r="E378" s="82" t="s">
        <v>345</v>
      </c>
      <c r="F378" s="82" t="s">
        <v>349</v>
      </c>
      <c r="G378" s="82" t="s">
        <v>347</v>
      </c>
      <c r="H378" s="82" t="s">
        <v>317</v>
      </c>
      <c r="I378" s="82" t="s">
        <v>318</v>
      </c>
      <c r="J378" s="82" t="s">
        <v>319</v>
      </c>
      <c r="K378" s="82" t="s">
        <v>320</v>
      </c>
      <c r="L378" s="82" t="s">
        <v>321</v>
      </c>
      <c r="M378" s="82" t="s">
        <v>322</v>
      </c>
      <c r="N378" s="82" t="s">
        <v>323</v>
      </c>
      <c r="O378" s="82" t="s">
        <v>324</v>
      </c>
      <c r="P378" s="82" t="s">
        <v>325</v>
      </c>
      <c r="Q378" s="82" t="s">
        <v>326</v>
      </c>
      <c r="R378" s="82" t="s">
        <v>327</v>
      </c>
      <c r="S378" s="82" t="s">
        <v>328</v>
      </c>
      <c r="T378" s="82" t="s">
        <v>329</v>
      </c>
      <c r="U378" s="82" t="s">
        <v>330</v>
      </c>
      <c r="V378" s="82" t="s">
        <v>331</v>
      </c>
      <c r="W378" s="82" t="s">
        <v>332</v>
      </c>
      <c r="X378" s="82" t="s">
        <v>333</v>
      </c>
      <c r="Y378" s="82" t="s">
        <v>334</v>
      </c>
      <c r="Z378" s="82" t="s">
        <v>335</v>
      </c>
      <c r="AA378" s="82" t="s">
        <v>385</v>
      </c>
      <c r="AB378" s="83" t="s">
        <v>670</v>
      </c>
      <c r="AC378" s="83" t="s">
        <v>672</v>
      </c>
    </row>
    <row r="379" spans="1:29" ht="15" customHeight="1">
      <c r="A379" s="81">
        <v>378</v>
      </c>
      <c r="B379" s="81" t="s">
        <v>663</v>
      </c>
      <c r="C379" s="82" t="s">
        <v>849</v>
      </c>
      <c r="D379" s="82" t="s">
        <v>344</v>
      </c>
      <c r="E379" s="82" t="s">
        <v>345</v>
      </c>
      <c r="F379" s="82" t="s">
        <v>349</v>
      </c>
      <c r="G379" s="82" t="s">
        <v>347</v>
      </c>
      <c r="H379" s="82" t="s">
        <v>317</v>
      </c>
      <c r="I379" s="82" t="s">
        <v>318</v>
      </c>
      <c r="J379" s="82" t="s">
        <v>319</v>
      </c>
      <c r="K379" s="82" t="s">
        <v>320</v>
      </c>
      <c r="L379" s="82" t="s">
        <v>321</v>
      </c>
      <c r="M379" s="82" t="s">
        <v>322</v>
      </c>
      <c r="N379" s="82" t="s">
        <v>323</v>
      </c>
      <c r="O379" s="82" t="s">
        <v>324</v>
      </c>
      <c r="P379" s="82" t="s">
        <v>325</v>
      </c>
      <c r="Q379" s="82" t="s">
        <v>326</v>
      </c>
      <c r="R379" s="82" t="s">
        <v>327</v>
      </c>
      <c r="S379" s="82" t="s">
        <v>328</v>
      </c>
      <c r="T379" s="82" t="s">
        <v>329</v>
      </c>
      <c r="U379" s="82" t="s">
        <v>330</v>
      </c>
      <c r="V379" s="82" t="s">
        <v>331</v>
      </c>
      <c r="W379" s="82" t="s">
        <v>332</v>
      </c>
      <c r="X379" s="82" t="s">
        <v>333</v>
      </c>
      <c r="Y379" s="82" t="s">
        <v>334</v>
      </c>
      <c r="Z379" s="82" t="s">
        <v>335</v>
      </c>
      <c r="AA379" s="82"/>
      <c r="AB379" s="83" t="s">
        <v>670</v>
      </c>
      <c r="AC379" s="83" t="s">
        <v>672</v>
      </c>
    </row>
    <row r="380" spans="1:29" ht="15" customHeight="1">
      <c r="A380" s="81">
        <v>379</v>
      </c>
      <c r="B380" s="81" t="s">
        <v>663</v>
      </c>
      <c r="C380" s="82" t="s">
        <v>850</v>
      </c>
      <c r="D380" s="82" t="s">
        <v>344</v>
      </c>
      <c r="E380" s="82" t="s">
        <v>345</v>
      </c>
      <c r="F380" s="82" t="s">
        <v>349</v>
      </c>
      <c r="G380" s="82" t="s">
        <v>347</v>
      </c>
      <c r="H380" s="82" t="s">
        <v>317</v>
      </c>
      <c r="I380" s="82" t="s">
        <v>318</v>
      </c>
      <c r="J380" s="82" t="s">
        <v>319</v>
      </c>
      <c r="K380" s="82" t="s">
        <v>320</v>
      </c>
      <c r="L380" s="82" t="s">
        <v>321</v>
      </c>
      <c r="M380" s="82" t="s">
        <v>322</v>
      </c>
      <c r="N380" s="82" t="s">
        <v>323</v>
      </c>
      <c r="O380" s="82" t="s">
        <v>324</v>
      </c>
      <c r="P380" s="82" t="s">
        <v>325</v>
      </c>
      <c r="Q380" s="82" t="s">
        <v>326</v>
      </c>
      <c r="R380" s="82" t="s">
        <v>327</v>
      </c>
      <c r="S380" s="82" t="s">
        <v>328</v>
      </c>
      <c r="T380" s="82" t="s">
        <v>329</v>
      </c>
      <c r="U380" s="82" t="s">
        <v>330</v>
      </c>
      <c r="V380" s="82" t="s">
        <v>331</v>
      </c>
      <c r="W380" s="82" t="s">
        <v>332</v>
      </c>
      <c r="X380" s="82" t="s">
        <v>333</v>
      </c>
      <c r="Y380" s="82" t="s">
        <v>334</v>
      </c>
      <c r="Z380" s="82" t="s">
        <v>335</v>
      </c>
      <c r="AA380" s="82" t="s">
        <v>385</v>
      </c>
      <c r="AB380" s="83" t="s">
        <v>670</v>
      </c>
      <c r="AC380" s="83" t="s">
        <v>672</v>
      </c>
    </row>
    <row r="381" spans="1:29" ht="15" customHeight="1">
      <c r="A381" s="81">
        <v>380</v>
      </c>
      <c r="B381" s="81" t="s">
        <v>663</v>
      </c>
      <c r="C381" s="82" t="s">
        <v>851</v>
      </c>
      <c r="D381" s="82" t="s">
        <v>344</v>
      </c>
      <c r="E381" s="82" t="s">
        <v>345</v>
      </c>
      <c r="F381" s="82" t="s">
        <v>349</v>
      </c>
      <c r="G381" s="82" t="s">
        <v>347</v>
      </c>
      <c r="H381" s="82" t="s">
        <v>317</v>
      </c>
      <c r="I381" s="82" t="s">
        <v>318</v>
      </c>
      <c r="J381" s="82" t="s">
        <v>319</v>
      </c>
      <c r="K381" s="82" t="s">
        <v>320</v>
      </c>
      <c r="L381" s="82" t="s">
        <v>321</v>
      </c>
      <c r="M381" s="82" t="s">
        <v>322</v>
      </c>
      <c r="N381" s="82" t="s">
        <v>323</v>
      </c>
      <c r="O381" s="82" t="s">
        <v>324</v>
      </c>
      <c r="P381" s="82" t="s">
        <v>325</v>
      </c>
      <c r="Q381" s="82" t="s">
        <v>326</v>
      </c>
      <c r="R381" s="82" t="s">
        <v>327</v>
      </c>
      <c r="S381" s="82" t="s">
        <v>328</v>
      </c>
      <c r="T381" s="82" t="s">
        <v>329</v>
      </c>
      <c r="U381" s="82" t="s">
        <v>330</v>
      </c>
      <c r="V381" s="82" t="s">
        <v>331</v>
      </c>
      <c r="W381" s="82" t="s">
        <v>332</v>
      </c>
      <c r="X381" s="82" t="s">
        <v>333</v>
      </c>
      <c r="Y381" s="82" t="s">
        <v>334</v>
      </c>
      <c r="Z381" s="82" t="s">
        <v>335</v>
      </c>
      <c r="AA381" s="82" t="s">
        <v>336</v>
      </c>
      <c r="AB381" s="83" t="s">
        <v>670</v>
      </c>
      <c r="AC381" s="83" t="s">
        <v>672</v>
      </c>
    </row>
    <row r="382" spans="1:29" ht="15" customHeight="1">
      <c r="A382" s="81">
        <v>381</v>
      </c>
      <c r="B382" s="81" t="s">
        <v>663</v>
      </c>
      <c r="C382" s="82" t="s">
        <v>852</v>
      </c>
      <c r="D382" s="82" t="s">
        <v>344</v>
      </c>
      <c r="E382" s="82" t="s">
        <v>345</v>
      </c>
      <c r="F382" s="82" t="s">
        <v>349</v>
      </c>
      <c r="G382" s="82" t="s">
        <v>347</v>
      </c>
      <c r="H382" s="82" t="s">
        <v>317</v>
      </c>
      <c r="I382" s="82" t="s">
        <v>318</v>
      </c>
      <c r="J382" s="82" t="s">
        <v>319</v>
      </c>
      <c r="K382" s="82" t="s">
        <v>320</v>
      </c>
      <c r="L382" s="82" t="s">
        <v>321</v>
      </c>
      <c r="M382" s="82" t="s">
        <v>322</v>
      </c>
      <c r="N382" s="82" t="s">
        <v>323</v>
      </c>
      <c r="O382" s="82" t="s">
        <v>324</v>
      </c>
      <c r="P382" s="82" t="s">
        <v>325</v>
      </c>
      <c r="Q382" s="82" t="s">
        <v>326</v>
      </c>
      <c r="R382" s="82" t="s">
        <v>327</v>
      </c>
      <c r="S382" s="82" t="s">
        <v>328</v>
      </c>
      <c r="T382" s="82" t="s">
        <v>329</v>
      </c>
      <c r="U382" s="82" t="s">
        <v>330</v>
      </c>
      <c r="V382" s="82" t="s">
        <v>331</v>
      </c>
      <c r="W382" s="82" t="s">
        <v>332</v>
      </c>
      <c r="X382" s="82" t="s">
        <v>333</v>
      </c>
      <c r="Y382" s="82" t="s">
        <v>334</v>
      </c>
      <c r="Z382" s="82" t="s">
        <v>335</v>
      </c>
      <c r="AA382" s="82" t="s">
        <v>336</v>
      </c>
      <c r="AB382" s="83" t="s">
        <v>670</v>
      </c>
      <c r="AC382" s="83" t="s">
        <v>672</v>
      </c>
    </row>
    <row r="383" spans="1:29" ht="15" customHeight="1">
      <c r="A383" s="81">
        <v>382</v>
      </c>
      <c r="B383" s="81" t="s">
        <v>663</v>
      </c>
      <c r="C383" s="82" t="s">
        <v>853</v>
      </c>
      <c r="D383" s="82" t="s">
        <v>343</v>
      </c>
      <c r="E383" s="82" t="s">
        <v>344</v>
      </c>
      <c r="F383" s="82" t="s">
        <v>345</v>
      </c>
      <c r="G383" s="82" t="s">
        <v>349</v>
      </c>
      <c r="H383" s="82" t="s">
        <v>347</v>
      </c>
      <c r="I383" s="82" t="s">
        <v>385</v>
      </c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3" t="s">
        <v>670</v>
      </c>
      <c r="AC383" s="83" t="s">
        <v>672</v>
      </c>
    </row>
    <row r="384" spans="1:29" ht="15" customHeight="1">
      <c r="A384" s="81">
        <v>383</v>
      </c>
      <c r="B384" s="81" t="s">
        <v>663</v>
      </c>
      <c r="C384" s="82" t="s">
        <v>854</v>
      </c>
      <c r="D384" s="82" t="s">
        <v>343</v>
      </c>
      <c r="E384" s="82" t="s">
        <v>344</v>
      </c>
      <c r="F384" s="82" t="s">
        <v>345</v>
      </c>
      <c r="G384" s="82" t="s">
        <v>349</v>
      </c>
      <c r="H384" s="82" t="s">
        <v>347</v>
      </c>
      <c r="I384" s="82" t="s">
        <v>385</v>
      </c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3" t="s">
        <v>670</v>
      </c>
      <c r="AC384" s="83" t="s">
        <v>672</v>
      </c>
    </row>
    <row r="385" spans="1:29" ht="15" customHeight="1">
      <c r="A385" s="81">
        <v>384</v>
      </c>
      <c r="B385" s="81" t="s">
        <v>663</v>
      </c>
      <c r="C385" s="82" t="s">
        <v>855</v>
      </c>
      <c r="D385" s="82" t="s">
        <v>343</v>
      </c>
      <c r="E385" s="82" t="s">
        <v>344</v>
      </c>
      <c r="F385" s="82" t="s">
        <v>345</v>
      </c>
      <c r="G385" s="82" t="s">
        <v>349</v>
      </c>
      <c r="H385" s="82" t="s">
        <v>347</v>
      </c>
      <c r="I385" s="82" t="s">
        <v>317</v>
      </c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3" t="s">
        <v>670</v>
      </c>
      <c r="AC385" s="83" t="s">
        <v>672</v>
      </c>
    </row>
    <row r="386" spans="1:29" ht="15" customHeight="1">
      <c r="A386" s="81">
        <v>385</v>
      </c>
      <c r="B386" s="81" t="s">
        <v>663</v>
      </c>
      <c r="C386" s="82" t="s">
        <v>856</v>
      </c>
      <c r="D386" s="82" t="s">
        <v>343</v>
      </c>
      <c r="E386" s="82" t="s">
        <v>344</v>
      </c>
      <c r="F386" s="82" t="s">
        <v>345</v>
      </c>
      <c r="G386" s="82" t="s">
        <v>349</v>
      </c>
      <c r="H386" s="82" t="s">
        <v>347</v>
      </c>
      <c r="I386" s="82" t="s">
        <v>317</v>
      </c>
      <c r="J386" s="82" t="s">
        <v>385</v>
      </c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3" t="s">
        <v>670</v>
      </c>
      <c r="AC386" s="83" t="s">
        <v>672</v>
      </c>
    </row>
    <row r="387" spans="1:29" ht="15" customHeight="1">
      <c r="A387" s="81">
        <v>386</v>
      </c>
      <c r="B387" s="81" t="s">
        <v>663</v>
      </c>
      <c r="C387" s="82" t="s">
        <v>857</v>
      </c>
      <c r="D387" s="82" t="s">
        <v>343</v>
      </c>
      <c r="E387" s="82" t="s">
        <v>344</v>
      </c>
      <c r="F387" s="82" t="s">
        <v>345</v>
      </c>
      <c r="G387" s="82" t="s">
        <v>349</v>
      </c>
      <c r="H387" s="82" t="s">
        <v>347</v>
      </c>
      <c r="I387" s="82" t="s">
        <v>317</v>
      </c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3" t="s">
        <v>670</v>
      </c>
      <c r="AC387" s="83" t="s">
        <v>672</v>
      </c>
    </row>
    <row r="388" spans="1:29" ht="15" customHeight="1">
      <c r="A388" s="81">
        <v>387</v>
      </c>
      <c r="B388" s="81" t="s">
        <v>663</v>
      </c>
      <c r="C388" s="82" t="s">
        <v>858</v>
      </c>
      <c r="D388" s="82" t="s">
        <v>343</v>
      </c>
      <c r="E388" s="82" t="s">
        <v>344</v>
      </c>
      <c r="F388" s="82" t="s">
        <v>345</v>
      </c>
      <c r="G388" s="82" t="s">
        <v>349</v>
      </c>
      <c r="H388" s="82" t="s">
        <v>347</v>
      </c>
      <c r="I388" s="82" t="s">
        <v>317</v>
      </c>
      <c r="J388" s="82" t="s">
        <v>385</v>
      </c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3" t="s">
        <v>670</v>
      </c>
      <c r="AC388" s="83" t="s">
        <v>672</v>
      </c>
    </row>
    <row r="389" spans="1:29" ht="15" customHeight="1">
      <c r="A389" s="81">
        <v>388</v>
      </c>
      <c r="B389" s="81" t="s">
        <v>663</v>
      </c>
      <c r="C389" s="82" t="s">
        <v>859</v>
      </c>
      <c r="D389" s="82" t="s">
        <v>343</v>
      </c>
      <c r="E389" s="82" t="s">
        <v>344</v>
      </c>
      <c r="F389" s="82" t="s">
        <v>345</v>
      </c>
      <c r="G389" s="82" t="s">
        <v>349</v>
      </c>
      <c r="H389" s="82" t="s">
        <v>347</v>
      </c>
      <c r="I389" s="82" t="s">
        <v>317</v>
      </c>
      <c r="J389" s="82" t="s">
        <v>318</v>
      </c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3" t="s">
        <v>670</v>
      </c>
      <c r="AC389" s="83" t="s">
        <v>672</v>
      </c>
    </row>
    <row r="390" spans="1:29" ht="15" customHeight="1">
      <c r="A390" s="81">
        <v>389</v>
      </c>
      <c r="B390" s="81" t="s">
        <v>663</v>
      </c>
      <c r="C390" s="82" t="s">
        <v>860</v>
      </c>
      <c r="D390" s="82" t="s">
        <v>343</v>
      </c>
      <c r="E390" s="82" t="s">
        <v>344</v>
      </c>
      <c r="F390" s="82" t="s">
        <v>345</v>
      </c>
      <c r="G390" s="82" t="s">
        <v>349</v>
      </c>
      <c r="H390" s="82" t="s">
        <v>347</v>
      </c>
      <c r="I390" s="82" t="s">
        <v>317</v>
      </c>
      <c r="J390" s="82" t="s">
        <v>318</v>
      </c>
      <c r="K390" s="82" t="s">
        <v>385</v>
      </c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3" t="s">
        <v>670</v>
      </c>
      <c r="AC390" s="83" t="s">
        <v>672</v>
      </c>
    </row>
    <row r="391" spans="1:29" ht="15" customHeight="1">
      <c r="A391" s="81">
        <v>390</v>
      </c>
      <c r="B391" s="81" t="s">
        <v>663</v>
      </c>
      <c r="C391" s="82" t="s">
        <v>861</v>
      </c>
      <c r="D391" s="82" t="s">
        <v>343</v>
      </c>
      <c r="E391" s="82" t="s">
        <v>344</v>
      </c>
      <c r="F391" s="82" t="s">
        <v>345</v>
      </c>
      <c r="G391" s="82" t="s">
        <v>349</v>
      </c>
      <c r="H391" s="82" t="s">
        <v>347</v>
      </c>
      <c r="I391" s="82" t="s">
        <v>317</v>
      </c>
      <c r="J391" s="82" t="s">
        <v>318</v>
      </c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3" t="s">
        <v>670</v>
      </c>
      <c r="AC391" s="83" t="s">
        <v>672</v>
      </c>
    </row>
    <row r="392" spans="1:29" ht="15" customHeight="1">
      <c r="A392" s="81">
        <v>391</v>
      </c>
      <c r="B392" s="81" t="s">
        <v>663</v>
      </c>
      <c r="C392" s="82" t="s">
        <v>862</v>
      </c>
      <c r="D392" s="82" t="s">
        <v>343</v>
      </c>
      <c r="E392" s="82" t="s">
        <v>344</v>
      </c>
      <c r="F392" s="82" t="s">
        <v>345</v>
      </c>
      <c r="G392" s="82" t="s">
        <v>349</v>
      </c>
      <c r="H392" s="82" t="s">
        <v>347</v>
      </c>
      <c r="I392" s="82" t="s">
        <v>317</v>
      </c>
      <c r="J392" s="82" t="s">
        <v>318</v>
      </c>
      <c r="K392" s="82" t="s">
        <v>385</v>
      </c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3" t="s">
        <v>670</v>
      </c>
      <c r="AC392" s="83" t="s">
        <v>672</v>
      </c>
    </row>
    <row r="393" spans="1:29" ht="15" customHeight="1">
      <c r="A393" s="81">
        <v>392</v>
      </c>
      <c r="B393" s="81" t="s">
        <v>663</v>
      </c>
      <c r="C393" s="82" t="s">
        <v>863</v>
      </c>
      <c r="D393" s="82" t="s">
        <v>343</v>
      </c>
      <c r="E393" s="82" t="s">
        <v>344</v>
      </c>
      <c r="F393" s="82" t="s">
        <v>345</v>
      </c>
      <c r="G393" s="82" t="s">
        <v>349</v>
      </c>
      <c r="H393" s="82" t="s">
        <v>347</v>
      </c>
      <c r="I393" s="82" t="s">
        <v>317</v>
      </c>
      <c r="J393" s="82" t="s">
        <v>318</v>
      </c>
      <c r="K393" s="82" t="s">
        <v>319</v>
      </c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3" t="s">
        <v>670</v>
      </c>
      <c r="AC393" s="83" t="s">
        <v>672</v>
      </c>
    </row>
    <row r="394" spans="1:29" ht="15" customHeight="1">
      <c r="A394" s="81">
        <v>393</v>
      </c>
      <c r="B394" s="81" t="s">
        <v>663</v>
      </c>
      <c r="C394" s="82" t="s">
        <v>864</v>
      </c>
      <c r="D394" s="82" t="s">
        <v>343</v>
      </c>
      <c r="E394" s="82" t="s">
        <v>344</v>
      </c>
      <c r="F394" s="82" t="s">
        <v>345</v>
      </c>
      <c r="G394" s="82" t="s">
        <v>349</v>
      </c>
      <c r="H394" s="82" t="s">
        <v>347</v>
      </c>
      <c r="I394" s="82" t="s">
        <v>317</v>
      </c>
      <c r="J394" s="82" t="s">
        <v>318</v>
      </c>
      <c r="K394" s="82" t="s">
        <v>319</v>
      </c>
      <c r="L394" s="82" t="s">
        <v>385</v>
      </c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3" t="s">
        <v>670</v>
      </c>
      <c r="AC394" s="83" t="s">
        <v>672</v>
      </c>
    </row>
    <row r="395" spans="1:29" ht="15" customHeight="1">
      <c r="A395" s="81">
        <v>394</v>
      </c>
      <c r="B395" s="81" t="s">
        <v>663</v>
      </c>
      <c r="C395" s="82" t="s">
        <v>865</v>
      </c>
      <c r="D395" s="82" t="s">
        <v>343</v>
      </c>
      <c r="E395" s="82" t="s">
        <v>344</v>
      </c>
      <c r="F395" s="82" t="s">
        <v>345</v>
      </c>
      <c r="G395" s="82" t="s">
        <v>349</v>
      </c>
      <c r="H395" s="82" t="s">
        <v>347</v>
      </c>
      <c r="I395" s="82" t="s">
        <v>317</v>
      </c>
      <c r="J395" s="82" t="s">
        <v>318</v>
      </c>
      <c r="K395" s="82" t="s">
        <v>319</v>
      </c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3" t="s">
        <v>670</v>
      </c>
      <c r="AC395" s="83" t="s">
        <v>672</v>
      </c>
    </row>
    <row r="396" spans="1:29" ht="15" customHeight="1">
      <c r="A396" s="81">
        <v>395</v>
      </c>
      <c r="B396" s="81" t="s">
        <v>663</v>
      </c>
      <c r="C396" s="82" t="s">
        <v>866</v>
      </c>
      <c r="D396" s="82" t="s">
        <v>343</v>
      </c>
      <c r="E396" s="82" t="s">
        <v>344</v>
      </c>
      <c r="F396" s="82" t="s">
        <v>345</v>
      </c>
      <c r="G396" s="82" t="s">
        <v>349</v>
      </c>
      <c r="H396" s="82" t="s">
        <v>347</v>
      </c>
      <c r="I396" s="82" t="s">
        <v>317</v>
      </c>
      <c r="J396" s="82" t="s">
        <v>318</v>
      </c>
      <c r="K396" s="82" t="s">
        <v>319</v>
      </c>
      <c r="L396" s="82" t="s">
        <v>385</v>
      </c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3" t="s">
        <v>670</v>
      </c>
      <c r="AC396" s="83" t="s">
        <v>672</v>
      </c>
    </row>
    <row r="397" spans="1:29" ht="15" customHeight="1">
      <c r="A397" s="81">
        <v>396</v>
      </c>
      <c r="B397" s="81" t="s">
        <v>663</v>
      </c>
      <c r="C397" s="82" t="s">
        <v>867</v>
      </c>
      <c r="D397" s="82" t="s">
        <v>343</v>
      </c>
      <c r="E397" s="82" t="s">
        <v>344</v>
      </c>
      <c r="F397" s="82" t="s">
        <v>345</v>
      </c>
      <c r="G397" s="82" t="s">
        <v>349</v>
      </c>
      <c r="H397" s="82" t="s">
        <v>347</v>
      </c>
      <c r="I397" s="82" t="s">
        <v>317</v>
      </c>
      <c r="J397" s="82" t="s">
        <v>318</v>
      </c>
      <c r="K397" s="82" t="s">
        <v>319</v>
      </c>
      <c r="L397" s="82" t="s">
        <v>320</v>
      </c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3" t="s">
        <v>670</v>
      </c>
      <c r="AC397" s="83" t="s">
        <v>672</v>
      </c>
    </row>
    <row r="398" spans="1:29" ht="15" customHeight="1">
      <c r="A398" s="81">
        <v>397</v>
      </c>
      <c r="B398" s="81" t="s">
        <v>663</v>
      </c>
      <c r="C398" s="82" t="s">
        <v>868</v>
      </c>
      <c r="D398" s="82" t="s">
        <v>343</v>
      </c>
      <c r="E398" s="82" t="s">
        <v>344</v>
      </c>
      <c r="F398" s="82" t="s">
        <v>345</v>
      </c>
      <c r="G398" s="82" t="s">
        <v>349</v>
      </c>
      <c r="H398" s="82" t="s">
        <v>347</v>
      </c>
      <c r="I398" s="82" t="s">
        <v>317</v>
      </c>
      <c r="J398" s="82" t="s">
        <v>318</v>
      </c>
      <c r="K398" s="82" t="s">
        <v>319</v>
      </c>
      <c r="L398" s="82" t="s">
        <v>320</v>
      </c>
      <c r="M398" s="82" t="s">
        <v>385</v>
      </c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3" t="s">
        <v>670</v>
      </c>
      <c r="AC398" s="83" t="s">
        <v>672</v>
      </c>
    </row>
    <row r="399" spans="1:29" ht="15" customHeight="1">
      <c r="A399" s="81">
        <v>398</v>
      </c>
      <c r="B399" s="81" t="s">
        <v>663</v>
      </c>
      <c r="C399" s="82" t="s">
        <v>869</v>
      </c>
      <c r="D399" s="82" t="s">
        <v>343</v>
      </c>
      <c r="E399" s="82" t="s">
        <v>344</v>
      </c>
      <c r="F399" s="82" t="s">
        <v>345</v>
      </c>
      <c r="G399" s="82" t="s">
        <v>349</v>
      </c>
      <c r="H399" s="82" t="s">
        <v>347</v>
      </c>
      <c r="I399" s="82" t="s">
        <v>317</v>
      </c>
      <c r="J399" s="82" t="s">
        <v>318</v>
      </c>
      <c r="K399" s="82" t="s">
        <v>319</v>
      </c>
      <c r="L399" s="82" t="s">
        <v>320</v>
      </c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3" t="s">
        <v>670</v>
      </c>
      <c r="AC399" s="83" t="s">
        <v>672</v>
      </c>
    </row>
    <row r="400" spans="1:29" ht="15" customHeight="1">
      <c r="A400" s="81">
        <v>399</v>
      </c>
      <c r="B400" s="81" t="s">
        <v>663</v>
      </c>
      <c r="C400" s="82" t="s">
        <v>870</v>
      </c>
      <c r="D400" s="82" t="s">
        <v>343</v>
      </c>
      <c r="E400" s="82" t="s">
        <v>344</v>
      </c>
      <c r="F400" s="82" t="s">
        <v>345</v>
      </c>
      <c r="G400" s="82" t="s">
        <v>349</v>
      </c>
      <c r="H400" s="82" t="s">
        <v>347</v>
      </c>
      <c r="I400" s="82" t="s">
        <v>317</v>
      </c>
      <c r="J400" s="82" t="s">
        <v>318</v>
      </c>
      <c r="K400" s="82" t="s">
        <v>319</v>
      </c>
      <c r="L400" s="82" t="s">
        <v>320</v>
      </c>
      <c r="M400" s="82" t="s">
        <v>385</v>
      </c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3" t="s">
        <v>670</v>
      </c>
      <c r="AC400" s="83" t="s">
        <v>672</v>
      </c>
    </row>
    <row r="401" spans="1:29" ht="15" customHeight="1">
      <c r="A401" s="81">
        <v>400</v>
      </c>
      <c r="B401" s="81" t="s">
        <v>663</v>
      </c>
      <c r="C401" s="82" t="s">
        <v>871</v>
      </c>
      <c r="D401" s="82" t="s">
        <v>343</v>
      </c>
      <c r="E401" s="82" t="s">
        <v>344</v>
      </c>
      <c r="F401" s="82" t="s">
        <v>345</v>
      </c>
      <c r="G401" s="82" t="s">
        <v>349</v>
      </c>
      <c r="H401" s="82" t="s">
        <v>347</v>
      </c>
      <c r="I401" s="82" t="s">
        <v>317</v>
      </c>
      <c r="J401" s="82" t="s">
        <v>318</v>
      </c>
      <c r="K401" s="82" t="s">
        <v>319</v>
      </c>
      <c r="L401" s="82" t="s">
        <v>320</v>
      </c>
      <c r="M401" s="82" t="s">
        <v>321</v>
      </c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3" t="s">
        <v>670</v>
      </c>
      <c r="AC401" s="83" t="s">
        <v>672</v>
      </c>
    </row>
    <row r="402" spans="1:29" ht="15" customHeight="1">
      <c r="A402" s="81">
        <v>401</v>
      </c>
      <c r="B402" s="81" t="s">
        <v>663</v>
      </c>
      <c r="C402" s="82" t="s">
        <v>872</v>
      </c>
      <c r="D402" s="82" t="s">
        <v>343</v>
      </c>
      <c r="E402" s="82" t="s">
        <v>344</v>
      </c>
      <c r="F402" s="82" t="s">
        <v>345</v>
      </c>
      <c r="G402" s="82" t="s">
        <v>349</v>
      </c>
      <c r="H402" s="82" t="s">
        <v>347</v>
      </c>
      <c r="I402" s="82" t="s">
        <v>317</v>
      </c>
      <c r="J402" s="82" t="s">
        <v>318</v>
      </c>
      <c r="K402" s="82" t="s">
        <v>319</v>
      </c>
      <c r="L402" s="82" t="s">
        <v>320</v>
      </c>
      <c r="M402" s="82" t="s">
        <v>321</v>
      </c>
      <c r="N402" s="82" t="s">
        <v>385</v>
      </c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3" t="s">
        <v>670</v>
      </c>
      <c r="AC402" s="83" t="s">
        <v>672</v>
      </c>
    </row>
    <row r="403" spans="1:29" ht="15" customHeight="1">
      <c r="A403" s="81">
        <v>402</v>
      </c>
      <c r="B403" s="81" t="s">
        <v>663</v>
      </c>
      <c r="C403" s="82" t="s">
        <v>873</v>
      </c>
      <c r="D403" s="82" t="s">
        <v>343</v>
      </c>
      <c r="E403" s="82" t="s">
        <v>344</v>
      </c>
      <c r="F403" s="82" t="s">
        <v>345</v>
      </c>
      <c r="G403" s="82" t="s">
        <v>349</v>
      </c>
      <c r="H403" s="82" t="s">
        <v>347</v>
      </c>
      <c r="I403" s="82" t="s">
        <v>317</v>
      </c>
      <c r="J403" s="82" t="s">
        <v>318</v>
      </c>
      <c r="K403" s="82" t="s">
        <v>319</v>
      </c>
      <c r="L403" s="82" t="s">
        <v>320</v>
      </c>
      <c r="M403" s="82" t="s">
        <v>321</v>
      </c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3" t="s">
        <v>670</v>
      </c>
      <c r="AC403" s="83" t="s">
        <v>672</v>
      </c>
    </row>
    <row r="404" spans="1:29" ht="15" customHeight="1">
      <c r="A404" s="81">
        <v>403</v>
      </c>
      <c r="B404" s="81" t="s">
        <v>663</v>
      </c>
      <c r="C404" s="82" t="s">
        <v>874</v>
      </c>
      <c r="D404" s="82" t="s">
        <v>343</v>
      </c>
      <c r="E404" s="82" t="s">
        <v>344</v>
      </c>
      <c r="F404" s="82" t="s">
        <v>345</v>
      </c>
      <c r="G404" s="82" t="s">
        <v>349</v>
      </c>
      <c r="H404" s="82" t="s">
        <v>347</v>
      </c>
      <c r="I404" s="82" t="s">
        <v>317</v>
      </c>
      <c r="J404" s="82" t="s">
        <v>318</v>
      </c>
      <c r="K404" s="82" t="s">
        <v>319</v>
      </c>
      <c r="L404" s="82" t="s">
        <v>320</v>
      </c>
      <c r="M404" s="82" t="s">
        <v>321</v>
      </c>
      <c r="N404" s="82" t="s">
        <v>385</v>
      </c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3" t="s">
        <v>670</v>
      </c>
      <c r="AC404" s="83" t="s">
        <v>672</v>
      </c>
    </row>
    <row r="405" spans="1:29" ht="15" customHeight="1">
      <c r="A405" s="81">
        <v>404</v>
      </c>
      <c r="B405" s="81" t="s">
        <v>663</v>
      </c>
      <c r="C405" s="82" t="s">
        <v>875</v>
      </c>
      <c r="D405" s="82" t="s">
        <v>343</v>
      </c>
      <c r="E405" s="82" t="s">
        <v>344</v>
      </c>
      <c r="F405" s="82" t="s">
        <v>345</v>
      </c>
      <c r="G405" s="82" t="s">
        <v>349</v>
      </c>
      <c r="H405" s="82" t="s">
        <v>347</v>
      </c>
      <c r="I405" s="82" t="s">
        <v>317</v>
      </c>
      <c r="J405" s="82" t="s">
        <v>318</v>
      </c>
      <c r="K405" s="82" t="s">
        <v>319</v>
      </c>
      <c r="L405" s="82" t="s">
        <v>320</v>
      </c>
      <c r="M405" s="82" t="s">
        <v>321</v>
      </c>
      <c r="N405" s="82" t="s">
        <v>322</v>
      </c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3" t="s">
        <v>670</v>
      </c>
      <c r="AC405" s="83" t="s">
        <v>672</v>
      </c>
    </row>
    <row r="406" spans="1:29" ht="15" customHeight="1">
      <c r="A406" s="81">
        <v>405</v>
      </c>
      <c r="B406" s="81" t="s">
        <v>663</v>
      </c>
      <c r="C406" s="82" t="s">
        <v>876</v>
      </c>
      <c r="D406" s="82" t="s">
        <v>343</v>
      </c>
      <c r="E406" s="82" t="s">
        <v>344</v>
      </c>
      <c r="F406" s="82" t="s">
        <v>345</v>
      </c>
      <c r="G406" s="82" t="s">
        <v>349</v>
      </c>
      <c r="H406" s="82" t="s">
        <v>347</v>
      </c>
      <c r="I406" s="82" t="s">
        <v>317</v>
      </c>
      <c r="J406" s="82" t="s">
        <v>318</v>
      </c>
      <c r="K406" s="82" t="s">
        <v>319</v>
      </c>
      <c r="L406" s="82" t="s">
        <v>320</v>
      </c>
      <c r="M406" s="82" t="s">
        <v>321</v>
      </c>
      <c r="N406" s="82" t="s">
        <v>322</v>
      </c>
      <c r="O406" s="82" t="s">
        <v>385</v>
      </c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3" t="s">
        <v>670</v>
      </c>
      <c r="AC406" s="83" t="s">
        <v>672</v>
      </c>
    </row>
    <row r="407" spans="1:29" ht="15" customHeight="1">
      <c r="A407" s="81">
        <v>406</v>
      </c>
      <c r="B407" s="81" t="s">
        <v>663</v>
      </c>
      <c r="C407" s="82" t="s">
        <v>877</v>
      </c>
      <c r="D407" s="82" t="s">
        <v>343</v>
      </c>
      <c r="E407" s="82" t="s">
        <v>344</v>
      </c>
      <c r="F407" s="82" t="s">
        <v>345</v>
      </c>
      <c r="G407" s="82" t="s">
        <v>349</v>
      </c>
      <c r="H407" s="82" t="s">
        <v>347</v>
      </c>
      <c r="I407" s="82" t="s">
        <v>317</v>
      </c>
      <c r="J407" s="82" t="s">
        <v>318</v>
      </c>
      <c r="K407" s="82" t="s">
        <v>319</v>
      </c>
      <c r="L407" s="82" t="s">
        <v>320</v>
      </c>
      <c r="M407" s="82" t="s">
        <v>321</v>
      </c>
      <c r="N407" s="82" t="s">
        <v>322</v>
      </c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3" t="s">
        <v>670</v>
      </c>
      <c r="AC407" s="83" t="s">
        <v>672</v>
      </c>
    </row>
    <row r="408" spans="1:29" ht="15" customHeight="1">
      <c r="A408" s="81">
        <v>407</v>
      </c>
      <c r="B408" s="81" t="s">
        <v>663</v>
      </c>
      <c r="C408" s="82" t="s">
        <v>878</v>
      </c>
      <c r="D408" s="82" t="s">
        <v>343</v>
      </c>
      <c r="E408" s="82" t="s">
        <v>344</v>
      </c>
      <c r="F408" s="82" t="s">
        <v>345</v>
      </c>
      <c r="G408" s="82" t="s">
        <v>349</v>
      </c>
      <c r="H408" s="82" t="s">
        <v>347</v>
      </c>
      <c r="I408" s="82" t="s">
        <v>317</v>
      </c>
      <c r="J408" s="82" t="s">
        <v>318</v>
      </c>
      <c r="K408" s="82" t="s">
        <v>319</v>
      </c>
      <c r="L408" s="82" t="s">
        <v>320</v>
      </c>
      <c r="M408" s="82" t="s">
        <v>321</v>
      </c>
      <c r="N408" s="82" t="s">
        <v>322</v>
      </c>
      <c r="O408" s="82" t="s">
        <v>385</v>
      </c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3" t="s">
        <v>670</v>
      </c>
      <c r="AC408" s="83" t="s">
        <v>672</v>
      </c>
    </row>
    <row r="409" spans="1:29" ht="15" customHeight="1">
      <c r="A409" s="81">
        <v>408</v>
      </c>
      <c r="B409" s="81" t="s">
        <v>663</v>
      </c>
      <c r="C409" s="82" t="s">
        <v>879</v>
      </c>
      <c r="D409" s="82" t="s">
        <v>343</v>
      </c>
      <c r="E409" s="82" t="s">
        <v>344</v>
      </c>
      <c r="F409" s="82" t="s">
        <v>345</v>
      </c>
      <c r="G409" s="82" t="s">
        <v>349</v>
      </c>
      <c r="H409" s="82" t="s">
        <v>347</v>
      </c>
      <c r="I409" s="82" t="s">
        <v>317</v>
      </c>
      <c r="J409" s="82" t="s">
        <v>318</v>
      </c>
      <c r="K409" s="82" t="s">
        <v>319</v>
      </c>
      <c r="L409" s="82" t="s">
        <v>320</v>
      </c>
      <c r="M409" s="82" t="s">
        <v>321</v>
      </c>
      <c r="N409" s="82" t="s">
        <v>322</v>
      </c>
      <c r="O409" s="82" t="s">
        <v>323</v>
      </c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3" t="s">
        <v>670</v>
      </c>
      <c r="AC409" s="83" t="s">
        <v>672</v>
      </c>
    </row>
    <row r="410" spans="1:29" ht="15" customHeight="1">
      <c r="A410" s="81">
        <v>409</v>
      </c>
      <c r="B410" s="81" t="s">
        <v>663</v>
      </c>
      <c r="C410" s="82" t="s">
        <v>880</v>
      </c>
      <c r="D410" s="82" t="s">
        <v>343</v>
      </c>
      <c r="E410" s="82" t="s">
        <v>344</v>
      </c>
      <c r="F410" s="82" t="s">
        <v>345</v>
      </c>
      <c r="G410" s="82" t="s">
        <v>349</v>
      </c>
      <c r="H410" s="82" t="s">
        <v>347</v>
      </c>
      <c r="I410" s="82" t="s">
        <v>317</v>
      </c>
      <c r="J410" s="82" t="s">
        <v>318</v>
      </c>
      <c r="K410" s="82" t="s">
        <v>319</v>
      </c>
      <c r="L410" s="82" t="s">
        <v>320</v>
      </c>
      <c r="M410" s="82" t="s">
        <v>321</v>
      </c>
      <c r="N410" s="82" t="s">
        <v>322</v>
      </c>
      <c r="O410" s="82" t="s">
        <v>323</v>
      </c>
      <c r="P410" s="82" t="s">
        <v>385</v>
      </c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3" t="s">
        <v>670</v>
      </c>
      <c r="AC410" s="83" t="s">
        <v>672</v>
      </c>
    </row>
    <row r="411" spans="1:29" ht="15" customHeight="1">
      <c r="A411" s="81">
        <v>410</v>
      </c>
      <c r="B411" s="81" t="s">
        <v>663</v>
      </c>
      <c r="C411" s="82" t="s">
        <v>881</v>
      </c>
      <c r="D411" s="82" t="s">
        <v>343</v>
      </c>
      <c r="E411" s="82" t="s">
        <v>344</v>
      </c>
      <c r="F411" s="82" t="s">
        <v>345</v>
      </c>
      <c r="G411" s="82" t="s">
        <v>349</v>
      </c>
      <c r="H411" s="82" t="s">
        <v>347</v>
      </c>
      <c r="I411" s="82" t="s">
        <v>317</v>
      </c>
      <c r="J411" s="82" t="s">
        <v>318</v>
      </c>
      <c r="K411" s="82" t="s">
        <v>319</v>
      </c>
      <c r="L411" s="82" t="s">
        <v>320</v>
      </c>
      <c r="M411" s="82" t="s">
        <v>321</v>
      </c>
      <c r="N411" s="82" t="s">
        <v>322</v>
      </c>
      <c r="O411" s="82" t="s">
        <v>323</v>
      </c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3" t="s">
        <v>670</v>
      </c>
      <c r="AC411" s="83" t="s">
        <v>672</v>
      </c>
    </row>
    <row r="412" spans="1:29" ht="15" customHeight="1">
      <c r="A412" s="81">
        <v>411</v>
      </c>
      <c r="B412" s="81" t="s">
        <v>663</v>
      </c>
      <c r="C412" s="82" t="s">
        <v>882</v>
      </c>
      <c r="D412" s="82" t="s">
        <v>343</v>
      </c>
      <c r="E412" s="82" t="s">
        <v>344</v>
      </c>
      <c r="F412" s="82" t="s">
        <v>345</v>
      </c>
      <c r="G412" s="82" t="s">
        <v>349</v>
      </c>
      <c r="H412" s="82" t="s">
        <v>347</v>
      </c>
      <c r="I412" s="82" t="s">
        <v>317</v>
      </c>
      <c r="J412" s="82" t="s">
        <v>318</v>
      </c>
      <c r="K412" s="82" t="s">
        <v>319</v>
      </c>
      <c r="L412" s="82" t="s">
        <v>320</v>
      </c>
      <c r="M412" s="82" t="s">
        <v>321</v>
      </c>
      <c r="N412" s="82" t="s">
        <v>322</v>
      </c>
      <c r="O412" s="82" t="s">
        <v>323</v>
      </c>
      <c r="P412" s="82" t="s">
        <v>385</v>
      </c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3" t="s">
        <v>670</v>
      </c>
      <c r="AC412" s="83" t="s">
        <v>672</v>
      </c>
    </row>
    <row r="413" spans="1:29" ht="15" customHeight="1">
      <c r="A413" s="81">
        <v>412</v>
      </c>
      <c r="B413" s="81" t="s">
        <v>663</v>
      </c>
      <c r="C413" s="82" t="s">
        <v>883</v>
      </c>
      <c r="D413" s="82" t="s">
        <v>343</v>
      </c>
      <c r="E413" s="82" t="s">
        <v>344</v>
      </c>
      <c r="F413" s="82" t="s">
        <v>345</v>
      </c>
      <c r="G413" s="82" t="s">
        <v>349</v>
      </c>
      <c r="H413" s="82" t="s">
        <v>347</v>
      </c>
      <c r="I413" s="82" t="s">
        <v>317</v>
      </c>
      <c r="J413" s="82" t="s">
        <v>318</v>
      </c>
      <c r="K413" s="82" t="s">
        <v>319</v>
      </c>
      <c r="L413" s="82" t="s">
        <v>320</v>
      </c>
      <c r="M413" s="82" t="s">
        <v>321</v>
      </c>
      <c r="N413" s="82" t="s">
        <v>322</v>
      </c>
      <c r="O413" s="82" t="s">
        <v>323</v>
      </c>
      <c r="P413" s="82" t="s">
        <v>324</v>
      </c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3" t="s">
        <v>670</v>
      </c>
      <c r="AC413" s="83" t="s">
        <v>672</v>
      </c>
    </row>
    <row r="414" spans="1:29" ht="15" customHeight="1">
      <c r="A414" s="81">
        <v>413</v>
      </c>
      <c r="B414" s="81" t="s">
        <v>663</v>
      </c>
      <c r="C414" s="82" t="s">
        <v>884</v>
      </c>
      <c r="D414" s="82" t="s">
        <v>343</v>
      </c>
      <c r="E414" s="82" t="s">
        <v>344</v>
      </c>
      <c r="F414" s="82" t="s">
        <v>345</v>
      </c>
      <c r="G414" s="82" t="s">
        <v>349</v>
      </c>
      <c r="H414" s="82" t="s">
        <v>347</v>
      </c>
      <c r="I414" s="82" t="s">
        <v>317</v>
      </c>
      <c r="J414" s="82" t="s">
        <v>318</v>
      </c>
      <c r="K414" s="82" t="s">
        <v>319</v>
      </c>
      <c r="L414" s="82" t="s">
        <v>320</v>
      </c>
      <c r="M414" s="82" t="s">
        <v>321</v>
      </c>
      <c r="N414" s="82" t="s">
        <v>322</v>
      </c>
      <c r="O414" s="82" t="s">
        <v>323</v>
      </c>
      <c r="P414" s="82" t="s">
        <v>324</v>
      </c>
      <c r="Q414" s="82" t="s">
        <v>385</v>
      </c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3" t="s">
        <v>670</v>
      </c>
      <c r="AC414" s="83" t="s">
        <v>672</v>
      </c>
    </row>
    <row r="415" spans="1:29" ht="15" customHeight="1">
      <c r="A415" s="81">
        <v>414</v>
      </c>
      <c r="B415" s="81" t="s">
        <v>663</v>
      </c>
      <c r="C415" s="82" t="s">
        <v>885</v>
      </c>
      <c r="D415" s="82" t="s">
        <v>343</v>
      </c>
      <c r="E415" s="82" t="s">
        <v>344</v>
      </c>
      <c r="F415" s="82" t="s">
        <v>345</v>
      </c>
      <c r="G415" s="82" t="s">
        <v>349</v>
      </c>
      <c r="H415" s="82" t="s">
        <v>347</v>
      </c>
      <c r="I415" s="82" t="s">
        <v>317</v>
      </c>
      <c r="J415" s="82" t="s">
        <v>318</v>
      </c>
      <c r="K415" s="82" t="s">
        <v>319</v>
      </c>
      <c r="L415" s="82" t="s">
        <v>320</v>
      </c>
      <c r="M415" s="82" t="s">
        <v>321</v>
      </c>
      <c r="N415" s="82" t="s">
        <v>322</v>
      </c>
      <c r="O415" s="82" t="s">
        <v>323</v>
      </c>
      <c r="P415" s="82" t="s">
        <v>324</v>
      </c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3" t="s">
        <v>670</v>
      </c>
      <c r="AC415" s="83" t="s">
        <v>672</v>
      </c>
    </row>
    <row r="416" spans="1:29" ht="15" customHeight="1">
      <c r="A416" s="81">
        <v>415</v>
      </c>
      <c r="B416" s="81" t="s">
        <v>663</v>
      </c>
      <c r="C416" s="82" t="s">
        <v>886</v>
      </c>
      <c r="D416" s="82" t="s">
        <v>343</v>
      </c>
      <c r="E416" s="82" t="s">
        <v>344</v>
      </c>
      <c r="F416" s="82" t="s">
        <v>345</v>
      </c>
      <c r="G416" s="82" t="s">
        <v>349</v>
      </c>
      <c r="H416" s="82" t="s">
        <v>347</v>
      </c>
      <c r="I416" s="82" t="s">
        <v>317</v>
      </c>
      <c r="J416" s="82" t="s">
        <v>318</v>
      </c>
      <c r="K416" s="82" t="s">
        <v>319</v>
      </c>
      <c r="L416" s="82" t="s">
        <v>320</v>
      </c>
      <c r="M416" s="82" t="s">
        <v>321</v>
      </c>
      <c r="N416" s="82" t="s">
        <v>322</v>
      </c>
      <c r="O416" s="82" t="s">
        <v>323</v>
      </c>
      <c r="P416" s="82" t="s">
        <v>324</v>
      </c>
      <c r="Q416" s="82" t="s">
        <v>385</v>
      </c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3" t="s">
        <v>670</v>
      </c>
      <c r="AC416" s="83" t="s">
        <v>672</v>
      </c>
    </row>
    <row r="417" spans="1:29" ht="15" customHeight="1">
      <c r="A417" s="81">
        <v>416</v>
      </c>
      <c r="B417" s="81" t="s">
        <v>663</v>
      </c>
      <c r="C417" s="82" t="s">
        <v>887</v>
      </c>
      <c r="D417" s="82" t="s">
        <v>343</v>
      </c>
      <c r="E417" s="82" t="s">
        <v>344</v>
      </c>
      <c r="F417" s="82" t="s">
        <v>345</v>
      </c>
      <c r="G417" s="82" t="s">
        <v>349</v>
      </c>
      <c r="H417" s="82" t="s">
        <v>347</v>
      </c>
      <c r="I417" s="82" t="s">
        <v>317</v>
      </c>
      <c r="J417" s="82" t="s">
        <v>318</v>
      </c>
      <c r="K417" s="82" t="s">
        <v>319</v>
      </c>
      <c r="L417" s="82" t="s">
        <v>320</v>
      </c>
      <c r="M417" s="82" t="s">
        <v>321</v>
      </c>
      <c r="N417" s="82" t="s">
        <v>322</v>
      </c>
      <c r="O417" s="82" t="s">
        <v>323</v>
      </c>
      <c r="P417" s="82" t="s">
        <v>324</v>
      </c>
      <c r="Q417" s="82" t="s">
        <v>325</v>
      </c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3" t="s">
        <v>670</v>
      </c>
      <c r="AC417" s="83" t="s">
        <v>672</v>
      </c>
    </row>
    <row r="418" spans="1:29" ht="15" customHeight="1">
      <c r="A418" s="81">
        <v>417</v>
      </c>
      <c r="B418" s="81" t="s">
        <v>663</v>
      </c>
      <c r="C418" s="82" t="s">
        <v>888</v>
      </c>
      <c r="D418" s="82" t="s">
        <v>343</v>
      </c>
      <c r="E418" s="82" t="s">
        <v>344</v>
      </c>
      <c r="F418" s="82" t="s">
        <v>345</v>
      </c>
      <c r="G418" s="82" t="s">
        <v>349</v>
      </c>
      <c r="H418" s="82" t="s">
        <v>347</v>
      </c>
      <c r="I418" s="82" t="s">
        <v>317</v>
      </c>
      <c r="J418" s="82" t="s">
        <v>318</v>
      </c>
      <c r="K418" s="82" t="s">
        <v>319</v>
      </c>
      <c r="L418" s="82" t="s">
        <v>320</v>
      </c>
      <c r="M418" s="82" t="s">
        <v>321</v>
      </c>
      <c r="N418" s="82" t="s">
        <v>322</v>
      </c>
      <c r="O418" s="82" t="s">
        <v>323</v>
      </c>
      <c r="P418" s="82" t="s">
        <v>324</v>
      </c>
      <c r="Q418" s="82" t="s">
        <v>325</v>
      </c>
      <c r="R418" s="82" t="s">
        <v>385</v>
      </c>
      <c r="S418" s="82"/>
      <c r="T418" s="82"/>
      <c r="U418" s="82"/>
      <c r="V418" s="82"/>
      <c r="W418" s="82"/>
      <c r="X418" s="82"/>
      <c r="Y418" s="82"/>
      <c r="Z418" s="82"/>
      <c r="AA418" s="82"/>
      <c r="AB418" s="83" t="s">
        <v>670</v>
      </c>
      <c r="AC418" s="83" t="s">
        <v>672</v>
      </c>
    </row>
    <row r="419" spans="1:29" ht="15" customHeight="1">
      <c r="A419" s="81">
        <v>418</v>
      </c>
      <c r="B419" s="81" t="s">
        <v>663</v>
      </c>
      <c r="C419" s="82" t="s">
        <v>889</v>
      </c>
      <c r="D419" s="82" t="s">
        <v>343</v>
      </c>
      <c r="E419" s="82" t="s">
        <v>344</v>
      </c>
      <c r="F419" s="82" t="s">
        <v>345</v>
      </c>
      <c r="G419" s="82" t="s">
        <v>349</v>
      </c>
      <c r="H419" s="82" t="s">
        <v>347</v>
      </c>
      <c r="I419" s="82" t="s">
        <v>317</v>
      </c>
      <c r="J419" s="82" t="s">
        <v>318</v>
      </c>
      <c r="K419" s="82" t="s">
        <v>319</v>
      </c>
      <c r="L419" s="82" t="s">
        <v>320</v>
      </c>
      <c r="M419" s="82" t="s">
        <v>321</v>
      </c>
      <c r="N419" s="82" t="s">
        <v>322</v>
      </c>
      <c r="O419" s="82" t="s">
        <v>323</v>
      </c>
      <c r="P419" s="82" t="s">
        <v>324</v>
      </c>
      <c r="Q419" s="82" t="s">
        <v>325</v>
      </c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3" t="s">
        <v>670</v>
      </c>
      <c r="AC419" s="83" t="s">
        <v>672</v>
      </c>
    </row>
    <row r="420" spans="1:29" ht="15" customHeight="1">
      <c r="A420" s="81">
        <v>419</v>
      </c>
      <c r="B420" s="81" t="s">
        <v>663</v>
      </c>
      <c r="C420" s="82" t="s">
        <v>890</v>
      </c>
      <c r="D420" s="82" t="s">
        <v>343</v>
      </c>
      <c r="E420" s="82" t="s">
        <v>344</v>
      </c>
      <c r="F420" s="82" t="s">
        <v>345</v>
      </c>
      <c r="G420" s="82" t="s">
        <v>349</v>
      </c>
      <c r="H420" s="82" t="s">
        <v>347</v>
      </c>
      <c r="I420" s="82" t="s">
        <v>317</v>
      </c>
      <c r="J420" s="82" t="s">
        <v>318</v>
      </c>
      <c r="K420" s="82" t="s">
        <v>319</v>
      </c>
      <c r="L420" s="82" t="s">
        <v>320</v>
      </c>
      <c r="M420" s="82" t="s">
        <v>321</v>
      </c>
      <c r="N420" s="82" t="s">
        <v>322</v>
      </c>
      <c r="O420" s="82" t="s">
        <v>323</v>
      </c>
      <c r="P420" s="82" t="s">
        <v>324</v>
      </c>
      <c r="Q420" s="82" t="s">
        <v>325</v>
      </c>
      <c r="R420" s="82" t="s">
        <v>385</v>
      </c>
      <c r="S420" s="82"/>
      <c r="T420" s="82"/>
      <c r="U420" s="82"/>
      <c r="V420" s="82"/>
      <c r="W420" s="82"/>
      <c r="X420" s="82"/>
      <c r="Y420" s="82"/>
      <c r="Z420" s="82"/>
      <c r="AA420" s="82"/>
      <c r="AB420" s="83" t="s">
        <v>670</v>
      </c>
      <c r="AC420" s="83" t="s">
        <v>672</v>
      </c>
    </row>
    <row r="421" spans="1:29" ht="15" customHeight="1">
      <c r="A421" s="81">
        <v>420</v>
      </c>
      <c r="B421" s="81" t="s">
        <v>663</v>
      </c>
      <c r="C421" s="82" t="s">
        <v>891</v>
      </c>
      <c r="D421" s="82" t="s">
        <v>343</v>
      </c>
      <c r="E421" s="82" t="s">
        <v>344</v>
      </c>
      <c r="F421" s="82" t="s">
        <v>345</v>
      </c>
      <c r="G421" s="82" t="s">
        <v>349</v>
      </c>
      <c r="H421" s="82" t="s">
        <v>347</v>
      </c>
      <c r="I421" s="82" t="s">
        <v>317</v>
      </c>
      <c r="J421" s="82" t="s">
        <v>318</v>
      </c>
      <c r="K421" s="82" t="s">
        <v>319</v>
      </c>
      <c r="L421" s="82" t="s">
        <v>320</v>
      </c>
      <c r="M421" s="82" t="s">
        <v>321</v>
      </c>
      <c r="N421" s="82" t="s">
        <v>322</v>
      </c>
      <c r="O421" s="82" t="s">
        <v>323</v>
      </c>
      <c r="P421" s="82" t="s">
        <v>324</v>
      </c>
      <c r="Q421" s="82" t="s">
        <v>325</v>
      </c>
      <c r="R421" s="82" t="s">
        <v>326</v>
      </c>
      <c r="S421" s="82"/>
      <c r="T421" s="82"/>
      <c r="U421" s="82"/>
      <c r="V421" s="82"/>
      <c r="W421" s="82"/>
      <c r="X421" s="82"/>
      <c r="Y421" s="82"/>
      <c r="Z421" s="82"/>
      <c r="AA421" s="82"/>
      <c r="AB421" s="83" t="s">
        <v>670</v>
      </c>
      <c r="AC421" s="83" t="s">
        <v>672</v>
      </c>
    </row>
    <row r="422" spans="1:29" ht="15" customHeight="1">
      <c r="A422" s="81">
        <v>421</v>
      </c>
      <c r="B422" s="81" t="s">
        <v>663</v>
      </c>
      <c r="C422" s="82" t="s">
        <v>892</v>
      </c>
      <c r="D422" s="82" t="s">
        <v>343</v>
      </c>
      <c r="E422" s="82" t="s">
        <v>344</v>
      </c>
      <c r="F422" s="82" t="s">
        <v>345</v>
      </c>
      <c r="G422" s="82" t="s">
        <v>349</v>
      </c>
      <c r="H422" s="82" t="s">
        <v>347</v>
      </c>
      <c r="I422" s="82" t="s">
        <v>317</v>
      </c>
      <c r="J422" s="82" t="s">
        <v>318</v>
      </c>
      <c r="K422" s="82" t="s">
        <v>319</v>
      </c>
      <c r="L422" s="82" t="s">
        <v>320</v>
      </c>
      <c r="M422" s="82" t="s">
        <v>321</v>
      </c>
      <c r="N422" s="82" t="s">
        <v>322</v>
      </c>
      <c r="O422" s="82" t="s">
        <v>323</v>
      </c>
      <c r="P422" s="82" t="s">
        <v>324</v>
      </c>
      <c r="Q422" s="82" t="s">
        <v>325</v>
      </c>
      <c r="R422" s="82" t="s">
        <v>326</v>
      </c>
      <c r="S422" s="82" t="s">
        <v>385</v>
      </c>
      <c r="T422" s="82"/>
      <c r="U422" s="82"/>
      <c r="V422" s="82"/>
      <c r="W422" s="82"/>
      <c r="X422" s="82"/>
      <c r="Y422" s="82"/>
      <c r="Z422" s="82"/>
      <c r="AA422" s="82"/>
      <c r="AB422" s="83" t="s">
        <v>670</v>
      </c>
      <c r="AC422" s="83" t="s">
        <v>672</v>
      </c>
    </row>
    <row r="423" spans="1:29" ht="15" customHeight="1">
      <c r="A423" s="81">
        <v>422</v>
      </c>
      <c r="B423" s="81" t="s">
        <v>663</v>
      </c>
      <c r="C423" s="82" t="s">
        <v>893</v>
      </c>
      <c r="D423" s="82" t="s">
        <v>343</v>
      </c>
      <c r="E423" s="82" t="s">
        <v>344</v>
      </c>
      <c r="F423" s="82" t="s">
        <v>345</v>
      </c>
      <c r="G423" s="82" t="s">
        <v>349</v>
      </c>
      <c r="H423" s="82" t="s">
        <v>347</v>
      </c>
      <c r="I423" s="82" t="s">
        <v>317</v>
      </c>
      <c r="J423" s="82" t="s">
        <v>318</v>
      </c>
      <c r="K423" s="82" t="s">
        <v>319</v>
      </c>
      <c r="L423" s="82" t="s">
        <v>320</v>
      </c>
      <c r="M423" s="82" t="s">
        <v>321</v>
      </c>
      <c r="N423" s="82" t="s">
        <v>322</v>
      </c>
      <c r="O423" s="82" t="s">
        <v>323</v>
      </c>
      <c r="P423" s="82" t="s">
        <v>324</v>
      </c>
      <c r="Q423" s="82" t="s">
        <v>325</v>
      </c>
      <c r="R423" s="82" t="s">
        <v>326</v>
      </c>
      <c r="S423" s="82"/>
      <c r="T423" s="82"/>
      <c r="U423" s="82"/>
      <c r="V423" s="82"/>
      <c r="W423" s="82"/>
      <c r="X423" s="82"/>
      <c r="Y423" s="82"/>
      <c r="Z423" s="82"/>
      <c r="AA423" s="82"/>
      <c r="AB423" s="83" t="s">
        <v>670</v>
      </c>
      <c r="AC423" s="83" t="s">
        <v>672</v>
      </c>
    </row>
    <row r="424" spans="1:29" ht="15" customHeight="1">
      <c r="A424" s="81">
        <v>423</v>
      </c>
      <c r="B424" s="81" t="s">
        <v>663</v>
      </c>
      <c r="C424" s="82" t="s">
        <v>894</v>
      </c>
      <c r="D424" s="82" t="s">
        <v>343</v>
      </c>
      <c r="E424" s="82" t="s">
        <v>344</v>
      </c>
      <c r="F424" s="82" t="s">
        <v>345</v>
      </c>
      <c r="G424" s="82" t="s">
        <v>349</v>
      </c>
      <c r="H424" s="82" t="s">
        <v>347</v>
      </c>
      <c r="I424" s="82" t="s">
        <v>317</v>
      </c>
      <c r="J424" s="82" t="s">
        <v>318</v>
      </c>
      <c r="K424" s="82" t="s">
        <v>319</v>
      </c>
      <c r="L424" s="82" t="s">
        <v>320</v>
      </c>
      <c r="M424" s="82" t="s">
        <v>321</v>
      </c>
      <c r="N424" s="82" t="s">
        <v>322</v>
      </c>
      <c r="O424" s="82" t="s">
        <v>323</v>
      </c>
      <c r="P424" s="82" t="s">
        <v>324</v>
      </c>
      <c r="Q424" s="82" t="s">
        <v>325</v>
      </c>
      <c r="R424" s="82" t="s">
        <v>326</v>
      </c>
      <c r="S424" s="82" t="s">
        <v>385</v>
      </c>
      <c r="T424" s="82"/>
      <c r="U424" s="82"/>
      <c r="V424" s="82"/>
      <c r="W424" s="82"/>
      <c r="X424" s="82"/>
      <c r="Y424" s="82"/>
      <c r="Z424" s="82"/>
      <c r="AA424" s="82"/>
      <c r="AB424" s="83" t="s">
        <v>670</v>
      </c>
      <c r="AC424" s="83" t="s">
        <v>672</v>
      </c>
    </row>
    <row r="425" spans="1:29" ht="15" customHeight="1">
      <c r="A425" s="81">
        <v>424</v>
      </c>
      <c r="B425" s="81" t="s">
        <v>663</v>
      </c>
      <c r="C425" s="82" t="s">
        <v>895</v>
      </c>
      <c r="D425" s="82" t="s">
        <v>343</v>
      </c>
      <c r="E425" s="82" t="s">
        <v>344</v>
      </c>
      <c r="F425" s="82" t="s">
        <v>345</v>
      </c>
      <c r="G425" s="82" t="s">
        <v>349</v>
      </c>
      <c r="H425" s="82" t="s">
        <v>347</v>
      </c>
      <c r="I425" s="82" t="s">
        <v>317</v>
      </c>
      <c r="J425" s="82" t="s">
        <v>318</v>
      </c>
      <c r="K425" s="82" t="s">
        <v>319</v>
      </c>
      <c r="L425" s="82" t="s">
        <v>320</v>
      </c>
      <c r="M425" s="82" t="s">
        <v>321</v>
      </c>
      <c r="N425" s="82" t="s">
        <v>322</v>
      </c>
      <c r="O425" s="82" t="s">
        <v>323</v>
      </c>
      <c r="P425" s="82" t="s">
        <v>324</v>
      </c>
      <c r="Q425" s="82" t="s">
        <v>325</v>
      </c>
      <c r="R425" s="82" t="s">
        <v>326</v>
      </c>
      <c r="S425" s="82" t="s">
        <v>327</v>
      </c>
      <c r="T425" s="82"/>
      <c r="U425" s="82"/>
      <c r="V425" s="82"/>
      <c r="W425" s="82"/>
      <c r="X425" s="82"/>
      <c r="Y425" s="82"/>
      <c r="Z425" s="82"/>
      <c r="AA425" s="82"/>
      <c r="AB425" s="83" t="s">
        <v>670</v>
      </c>
      <c r="AC425" s="83" t="s">
        <v>672</v>
      </c>
    </row>
    <row r="426" spans="1:29" ht="15" customHeight="1">
      <c r="A426" s="81">
        <v>425</v>
      </c>
      <c r="B426" s="81" t="s">
        <v>663</v>
      </c>
      <c r="C426" s="82" t="s">
        <v>896</v>
      </c>
      <c r="D426" s="82" t="s">
        <v>343</v>
      </c>
      <c r="E426" s="82" t="s">
        <v>344</v>
      </c>
      <c r="F426" s="82" t="s">
        <v>345</v>
      </c>
      <c r="G426" s="82" t="s">
        <v>349</v>
      </c>
      <c r="H426" s="82" t="s">
        <v>347</v>
      </c>
      <c r="I426" s="82" t="s">
        <v>317</v>
      </c>
      <c r="J426" s="82" t="s">
        <v>318</v>
      </c>
      <c r="K426" s="82" t="s">
        <v>319</v>
      </c>
      <c r="L426" s="82" t="s">
        <v>320</v>
      </c>
      <c r="M426" s="82" t="s">
        <v>321</v>
      </c>
      <c r="N426" s="82" t="s">
        <v>322</v>
      </c>
      <c r="O426" s="82" t="s">
        <v>323</v>
      </c>
      <c r="P426" s="82" t="s">
        <v>324</v>
      </c>
      <c r="Q426" s="82" t="s">
        <v>325</v>
      </c>
      <c r="R426" s="82" t="s">
        <v>326</v>
      </c>
      <c r="S426" s="82" t="s">
        <v>327</v>
      </c>
      <c r="T426" s="82" t="s">
        <v>385</v>
      </c>
      <c r="U426" s="82"/>
      <c r="V426" s="82"/>
      <c r="W426" s="82"/>
      <c r="X426" s="82"/>
      <c r="Y426" s="82"/>
      <c r="Z426" s="82"/>
      <c r="AA426" s="82"/>
      <c r="AB426" s="83" t="s">
        <v>670</v>
      </c>
      <c r="AC426" s="83" t="s">
        <v>672</v>
      </c>
    </row>
    <row r="427" spans="1:29" ht="15" customHeight="1">
      <c r="A427" s="81">
        <v>426</v>
      </c>
      <c r="B427" s="81" t="s">
        <v>663</v>
      </c>
      <c r="C427" s="82" t="s">
        <v>897</v>
      </c>
      <c r="D427" s="82" t="s">
        <v>343</v>
      </c>
      <c r="E427" s="82" t="s">
        <v>344</v>
      </c>
      <c r="F427" s="82" t="s">
        <v>345</v>
      </c>
      <c r="G427" s="82" t="s">
        <v>349</v>
      </c>
      <c r="H427" s="82" t="s">
        <v>347</v>
      </c>
      <c r="I427" s="82" t="s">
        <v>317</v>
      </c>
      <c r="J427" s="82" t="s">
        <v>318</v>
      </c>
      <c r="K427" s="82" t="s">
        <v>319</v>
      </c>
      <c r="L427" s="82" t="s">
        <v>320</v>
      </c>
      <c r="M427" s="82" t="s">
        <v>321</v>
      </c>
      <c r="N427" s="82" t="s">
        <v>322</v>
      </c>
      <c r="O427" s="82" t="s">
        <v>323</v>
      </c>
      <c r="P427" s="82" t="s">
        <v>324</v>
      </c>
      <c r="Q427" s="82" t="s">
        <v>325</v>
      </c>
      <c r="R427" s="82" t="s">
        <v>326</v>
      </c>
      <c r="S427" s="82" t="s">
        <v>327</v>
      </c>
      <c r="T427" s="82"/>
      <c r="U427" s="82"/>
      <c r="V427" s="82"/>
      <c r="W427" s="82"/>
      <c r="X427" s="82"/>
      <c r="Y427" s="82"/>
      <c r="Z427" s="82"/>
      <c r="AA427" s="82"/>
      <c r="AB427" s="83" t="s">
        <v>670</v>
      </c>
      <c r="AC427" s="83" t="s">
        <v>672</v>
      </c>
    </row>
    <row r="428" spans="1:29" ht="15" customHeight="1">
      <c r="A428" s="81">
        <v>427</v>
      </c>
      <c r="B428" s="81" t="s">
        <v>663</v>
      </c>
      <c r="C428" s="82" t="s">
        <v>898</v>
      </c>
      <c r="D428" s="82" t="s">
        <v>343</v>
      </c>
      <c r="E428" s="82" t="s">
        <v>344</v>
      </c>
      <c r="F428" s="82" t="s">
        <v>345</v>
      </c>
      <c r="G428" s="82" t="s">
        <v>349</v>
      </c>
      <c r="H428" s="82" t="s">
        <v>347</v>
      </c>
      <c r="I428" s="82" t="s">
        <v>317</v>
      </c>
      <c r="J428" s="82" t="s">
        <v>318</v>
      </c>
      <c r="K428" s="82" t="s">
        <v>319</v>
      </c>
      <c r="L428" s="82" t="s">
        <v>320</v>
      </c>
      <c r="M428" s="82" t="s">
        <v>321</v>
      </c>
      <c r="N428" s="82" t="s">
        <v>322</v>
      </c>
      <c r="O428" s="82" t="s">
        <v>323</v>
      </c>
      <c r="P428" s="82" t="s">
        <v>324</v>
      </c>
      <c r="Q428" s="82" t="s">
        <v>325</v>
      </c>
      <c r="R428" s="82" t="s">
        <v>326</v>
      </c>
      <c r="S428" s="82" t="s">
        <v>327</v>
      </c>
      <c r="T428" s="82" t="s">
        <v>385</v>
      </c>
      <c r="U428" s="82"/>
      <c r="V428" s="82"/>
      <c r="W428" s="82"/>
      <c r="X428" s="82"/>
      <c r="Y428" s="82"/>
      <c r="Z428" s="82"/>
      <c r="AA428" s="82"/>
      <c r="AB428" s="83" t="s">
        <v>670</v>
      </c>
      <c r="AC428" s="83" t="s">
        <v>672</v>
      </c>
    </row>
    <row r="429" spans="1:29" ht="15" customHeight="1">
      <c r="A429" s="81">
        <v>428</v>
      </c>
      <c r="B429" s="81" t="s">
        <v>663</v>
      </c>
      <c r="C429" s="82" t="s">
        <v>899</v>
      </c>
      <c r="D429" s="82" t="s">
        <v>343</v>
      </c>
      <c r="E429" s="82" t="s">
        <v>344</v>
      </c>
      <c r="F429" s="82" t="s">
        <v>345</v>
      </c>
      <c r="G429" s="82" t="s">
        <v>349</v>
      </c>
      <c r="H429" s="82" t="s">
        <v>347</v>
      </c>
      <c r="I429" s="82" t="s">
        <v>317</v>
      </c>
      <c r="J429" s="82" t="s">
        <v>318</v>
      </c>
      <c r="K429" s="82" t="s">
        <v>319</v>
      </c>
      <c r="L429" s="82" t="s">
        <v>320</v>
      </c>
      <c r="M429" s="82" t="s">
        <v>321</v>
      </c>
      <c r="N429" s="82" t="s">
        <v>322</v>
      </c>
      <c r="O429" s="82" t="s">
        <v>323</v>
      </c>
      <c r="P429" s="82" t="s">
        <v>324</v>
      </c>
      <c r="Q429" s="82" t="s">
        <v>325</v>
      </c>
      <c r="R429" s="82" t="s">
        <v>326</v>
      </c>
      <c r="S429" s="82" t="s">
        <v>327</v>
      </c>
      <c r="T429" s="82" t="s">
        <v>328</v>
      </c>
      <c r="U429" s="82"/>
      <c r="V429" s="82"/>
      <c r="W429" s="82"/>
      <c r="X429" s="82"/>
      <c r="Y429" s="82"/>
      <c r="Z429" s="82"/>
      <c r="AA429" s="82"/>
      <c r="AB429" s="83" t="s">
        <v>670</v>
      </c>
      <c r="AC429" s="83" t="s">
        <v>672</v>
      </c>
    </row>
    <row r="430" spans="1:29" ht="15" customHeight="1">
      <c r="A430" s="81">
        <v>429</v>
      </c>
      <c r="B430" s="81" t="s">
        <v>663</v>
      </c>
      <c r="C430" s="82" t="s">
        <v>900</v>
      </c>
      <c r="D430" s="82" t="s">
        <v>343</v>
      </c>
      <c r="E430" s="82" t="s">
        <v>344</v>
      </c>
      <c r="F430" s="82" t="s">
        <v>345</v>
      </c>
      <c r="G430" s="82" t="s">
        <v>349</v>
      </c>
      <c r="H430" s="82" t="s">
        <v>347</v>
      </c>
      <c r="I430" s="82" t="s">
        <v>317</v>
      </c>
      <c r="J430" s="82" t="s">
        <v>318</v>
      </c>
      <c r="K430" s="82" t="s">
        <v>319</v>
      </c>
      <c r="L430" s="82" t="s">
        <v>320</v>
      </c>
      <c r="M430" s="82" t="s">
        <v>321</v>
      </c>
      <c r="N430" s="82" t="s">
        <v>322</v>
      </c>
      <c r="O430" s="82" t="s">
        <v>323</v>
      </c>
      <c r="P430" s="82" t="s">
        <v>324</v>
      </c>
      <c r="Q430" s="82" t="s">
        <v>325</v>
      </c>
      <c r="R430" s="82" t="s">
        <v>326</v>
      </c>
      <c r="S430" s="82" t="s">
        <v>327</v>
      </c>
      <c r="T430" s="82" t="s">
        <v>328</v>
      </c>
      <c r="U430" s="82" t="s">
        <v>385</v>
      </c>
      <c r="V430" s="82"/>
      <c r="W430" s="82"/>
      <c r="X430" s="82"/>
      <c r="Y430" s="82"/>
      <c r="Z430" s="82"/>
      <c r="AA430" s="82"/>
      <c r="AB430" s="83" t="s">
        <v>670</v>
      </c>
      <c r="AC430" s="83" t="s">
        <v>672</v>
      </c>
    </row>
    <row r="431" spans="1:29" ht="15" customHeight="1">
      <c r="A431" s="81">
        <v>430</v>
      </c>
      <c r="B431" s="81" t="s">
        <v>663</v>
      </c>
      <c r="C431" s="82" t="s">
        <v>901</v>
      </c>
      <c r="D431" s="82" t="s">
        <v>343</v>
      </c>
      <c r="E431" s="82" t="s">
        <v>344</v>
      </c>
      <c r="F431" s="82" t="s">
        <v>345</v>
      </c>
      <c r="G431" s="82" t="s">
        <v>349</v>
      </c>
      <c r="H431" s="82" t="s">
        <v>347</v>
      </c>
      <c r="I431" s="82" t="s">
        <v>317</v>
      </c>
      <c r="J431" s="82" t="s">
        <v>318</v>
      </c>
      <c r="K431" s="82" t="s">
        <v>319</v>
      </c>
      <c r="L431" s="82" t="s">
        <v>320</v>
      </c>
      <c r="M431" s="82" t="s">
        <v>321</v>
      </c>
      <c r="N431" s="82" t="s">
        <v>322</v>
      </c>
      <c r="O431" s="82" t="s">
        <v>323</v>
      </c>
      <c r="P431" s="82" t="s">
        <v>324</v>
      </c>
      <c r="Q431" s="82" t="s">
        <v>325</v>
      </c>
      <c r="R431" s="82" t="s">
        <v>326</v>
      </c>
      <c r="S431" s="82" t="s">
        <v>327</v>
      </c>
      <c r="T431" s="82" t="s">
        <v>328</v>
      </c>
      <c r="U431" s="82"/>
      <c r="V431" s="82"/>
      <c r="W431" s="82"/>
      <c r="X431" s="82"/>
      <c r="Y431" s="82"/>
      <c r="Z431" s="82"/>
      <c r="AA431" s="82"/>
      <c r="AB431" s="83" t="s">
        <v>670</v>
      </c>
      <c r="AC431" s="83" t="s">
        <v>672</v>
      </c>
    </row>
    <row r="432" spans="1:29" ht="15" customHeight="1">
      <c r="A432" s="81">
        <v>431</v>
      </c>
      <c r="B432" s="81" t="s">
        <v>663</v>
      </c>
      <c r="C432" s="82" t="s">
        <v>902</v>
      </c>
      <c r="D432" s="82" t="s">
        <v>343</v>
      </c>
      <c r="E432" s="82" t="s">
        <v>344</v>
      </c>
      <c r="F432" s="82" t="s">
        <v>345</v>
      </c>
      <c r="G432" s="82" t="s">
        <v>349</v>
      </c>
      <c r="H432" s="82" t="s">
        <v>347</v>
      </c>
      <c r="I432" s="82" t="s">
        <v>317</v>
      </c>
      <c r="J432" s="82" t="s">
        <v>318</v>
      </c>
      <c r="K432" s="82" t="s">
        <v>319</v>
      </c>
      <c r="L432" s="82" t="s">
        <v>320</v>
      </c>
      <c r="M432" s="82" t="s">
        <v>321</v>
      </c>
      <c r="N432" s="82" t="s">
        <v>322</v>
      </c>
      <c r="O432" s="82" t="s">
        <v>323</v>
      </c>
      <c r="P432" s="82" t="s">
        <v>324</v>
      </c>
      <c r="Q432" s="82" t="s">
        <v>325</v>
      </c>
      <c r="R432" s="82" t="s">
        <v>326</v>
      </c>
      <c r="S432" s="82" t="s">
        <v>327</v>
      </c>
      <c r="T432" s="82" t="s">
        <v>328</v>
      </c>
      <c r="U432" s="82" t="s">
        <v>385</v>
      </c>
      <c r="V432" s="82"/>
      <c r="W432" s="82"/>
      <c r="X432" s="82"/>
      <c r="Y432" s="82"/>
      <c r="Z432" s="82"/>
      <c r="AA432" s="82"/>
      <c r="AB432" s="83" t="s">
        <v>670</v>
      </c>
      <c r="AC432" s="83" t="s">
        <v>672</v>
      </c>
    </row>
    <row r="433" spans="1:29" ht="15" customHeight="1">
      <c r="A433" s="81">
        <v>432</v>
      </c>
      <c r="B433" s="81" t="s">
        <v>663</v>
      </c>
      <c r="C433" s="82" t="s">
        <v>903</v>
      </c>
      <c r="D433" s="82" t="s">
        <v>343</v>
      </c>
      <c r="E433" s="82" t="s">
        <v>344</v>
      </c>
      <c r="F433" s="82" t="s">
        <v>345</v>
      </c>
      <c r="G433" s="82" t="s">
        <v>349</v>
      </c>
      <c r="H433" s="82" t="s">
        <v>347</v>
      </c>
      <c r="I433" s="82" t="s">
        <v>317</v>
      </c>
      <c r="J433" s="82" t="s">
        <v>318</v>
      </c>
      <c r="K433" s="82" t="s">
        <v>319</v>
      </c>
      <c r="L433" s="82" t="s">
        <v>320</v>
      </c>
      <c r="M433" s="82" t="s">
        <v>321</v>
      </c>
      <c r="N433" s="82" t="s">
        <v>322</v>
      </c>
      <c r="O433" s="82" t="s">
        <v>323</v>
      </c>
      <c r="P433" s="82" t="s">
        <v>324</v>
      </c>
      <c r="Q433" s="82" t="s">
        <v>325</v>
      </c>
      <c r="R433" s="82" t="s">
        <v>326</v>
      </c>
      <c r="S433" s="82" t="s">
        <v>327</v>
      </c>
      <c r="T433" s="82" t="s">
        <v>328</v>
      </c>
      <c r="U433" s="82" t="s">
        <v>329</v>
      </c>
      <c r="V433" s="82"/>
      <c r="W433" s="82"/>
      <c r="X433" s="82"/>
      <c r="Y433" s="82"/>
      <c r="Z433" s="82"/>
      <c r="AA433" s="82"/>
      <c r="AB433" s="83" t="s">
        <v>670</v>
      </c>
      <c r="AC433" s="83" t="s">
        <v>672</v>
      </c>
    </row>
    <row r="434" spans="1:29" ht="15" customHeight="1">
      <c r="A434" s="81">
        <v>433</v>
      </c>
      <c r="B434" s="81" t="s">
        <v>663</v>
      </c>
      <c r="C434" s="82" t="s">
        <v>904</v>
      </c>
      <c r="D434" s="82" t="s">
        <v>343</v>
      </c>
      <c r="E434" s="82" t="s">
        <v>344</v>
      </c>
      <c r="F434" s="82" t="s">
        <v>345</v>
      </c>
      <c r="G434" s="82" t="s">
        <v>349</v>
      </c>
      <c r="H434" s="82" t="s">
        <v>347</v>
      </c>
      <c r="I434" s="82" t="s">
        <v>317</v>
      </c>
      <c r="J434" s="82" t="s">
        <v>318</v>
      </c>
      <c r="K434" s="82" t="s">
        <v>319</v>
      </c>
      <c r="L434" s="82" t="s">
        <v>320</v>
      </c>
      <c r="M434" s="82" t="s">
        <v>321</v>
      </c>
      <c r="N434" s="82" t="s">
        <v>322</v>
      </c>
      <c r="O434" s="82" t="s">
        <v>323</v>
      </c>
      <c r="P434" s="82" t="s">
        <v>324</v>
      </c>
      <c r="Q434" s="82" t="s">
        <v>325</v>
      </c>
      <c r="R434" s="82" t="s">
        <v>326</v>
      </c>
      <c r="S434" s="82" t="s">
        <v>327</v>
      </c>
      <c r="T434" s="82" t="s">
        <v>328</v>
      </c>
      <c r="U434" s="82" t="s">
        <v>329</v>
      </c>
      <c r="V434" s="82" t="s">
        <v>385</v>
      </c>
      <c r="W434" s="82"/>
      <c r="X434" s="82"/>
      <c r="Y434" s="82"/>
      <c r="Z434" s="82"/>
      <c r="AA434" s="82"/>
      <c r="AB434" s="83" t="s">
        <v>670</v>
      </c>
      <c r="AC434" s="83" t="s">
        <v>672</v>
      </c>
    </row>
    <row r="435" spans="1:29" ht="15" customHeight="1">
      <c r="A435" s="81">
        <v>434</v>
      </c>
      <c r="B435" s="81" t="s">
        <v>663</v>
      </c>
      <c r="C435" s="82" t="s">
        <v>905</v>
      </c>
      <c r="D435" s="82" t="s">
        <v>343</v>
      </c>
      <c r="E435" s="82" t="s">
        <v>344</v>
      </c>
      <c r="F435" s="82" t="s">
        <v>345</v>
      </c>
      <c r="G435" s="82" t="s">
        <v>349</v>
      </c>
      <c r="H435" s="82" t="s">
        <v>347</v>
      </c>
      <c r="I435" s="82" t="s">
        <v>317</v>
      </c>
      <c r="J435" s="82" t="s">
        <v>318</v>
      </c>
      <c r="K435" s="82" t="s">
        <v>319</v>
      </c>
      <c r="L435" s="82" t="s">
        <v>320</v>
      </c>
      <c r="M435" s="82" t="s">
        <v>321</v>
      </c>
      <c r="N435" s="82" t="s">
        <v>322</v>
      </c>
      <c r="O435" s="82" t="s">
        <v>323</v>
      </c>
      <c r="P435" s="82" t="s">
        <v>324</v>
      </c>
      <c r="Q435" s="82" t="s">
        <v>325</v>
      </c>
      <c r="R435" s="82" t="s">
        <v>326</v>
      </c>
      <c r="S435" s="82" t="s">
        <v>327</v>
      </c>
      <c r="T435" s="82" t="s">
        <v>328</v>
      </c>
      <c r="U435" s="82" t="s">
        <v>329</v>
      </c>
      <c r="V435" s="82"/>
      <c r="W435" s="82"/>
      <c r="X435" s="82"/>
      <c r="Y435" s="82"/>
      <c r="Z435" s="82"/>
      <c r="AA435" s="82"/>
      <c r="AB435" s="83" t="s">
        <v>670</v>
      </c>
      <c r="AC435" s="83" t="s">
        <v>672</v>
      </c>
    </row>
    <row r="436" spans="1:29" ht="15" customHeight="1">
      <c r="A436" s="81">
        <v>435</v>
      </c>
      <c r="B436" s="81" t="s">
        <v>663</v>
      </c>
      <c r="C436" s="82" t="s">
        <v>906</v>
      </c>
      <c r="D436" s="82" t="s">
        <v>343</v>
      </c>
      <c r="E436" s="82" t="s">
        <v>344</v>
      </c>
      <c r="F436" s="82" t="s">
        <v>345</v>
      </c>
      <c r="G436" s="82" t="s">
        <v>349</v>
      </c>
      <c r="H436" s="82" t="s">
        <v>347</v>
      </c>
      <c r="I436" s="82" t="s">
        <v>317</v>
      </c>
      <c r="J436" s="82" t="s">
        <v>318</v>
      </c>
      <c r="K436" s="82" t="s">
        <v>319</v>
      </c>
      <c r="L436" s="82" t="s">
        <v>320</v>
      </c>
      <c r="M436" s="82" t="s">
        <v>321</v>
      </c>
      <c r="N436" s="82" t="s">
        <v>322</v>
      </c>
      <c r="O436" s="82" t="s">
        <v>323</v>
      </c>
      <c r="P436" s="82" t="s">
        <v>324</v>
      </c>
      <c r="Q436" s="82" t="s">
        <v>325</v>
      </c>
      <c r="R436" s="82" t="s">
        <v>326</v>
      </c>
      <c r="S436" s="82" t="s">
        <v>327</v>
      </c>
      <c r="T436" s="82" t="s">
        <v>328</v>
      </c>
      <c r="U436" s="82" t="s">
        <v>329</v>
      </c>
      <c r="V436" s="82" t="s">
        <v>385</v>
      </c>
      <c r="W436" s="82"/>
      <c r="X436" s="82"/>
      <c r="Y436" s="82"/>
      <c r="Z436" s="82"/>
      <c r="AA436" s="82"/>
      <c r="AB436" s="83" t="s">
        <v>670</v>
      </c>
      <c r="AC436" s="83" t="s">
        <v>672</v>
      </c>
    </row>
    <row r="437" spans="1:29" ht="15" customHeight="1">
      <c r="A437" s="81">
        <v>436</v>
      </c>
      <c r="B437" s="81" t="s">
        <v>663</v>
      </c>
      <c r="C437" s="82" t="s">
        <v>907</v>
      </c>
      <c r="D437" s="82" t="s">
        <v>343</v>
      </c>
      <c r="E437" s="82" t="s">
        <v>344</v>
      </c>
      <c r="F437" s="82" t="s">
        <v>345</v>
      </c>
      <c r="G437" s="82" t="s">
        <v>349</v>
      </c>
      <c r="H437" s="82" t="s">
        <v>347</v>
      </c>
      <c r="I437" s="82" t="s">
        <v>317</v>
      </c>
      <c r="J437" s="82" t="s">
        <v>318</v>
      </c>
      <c r="K437" s="82" t="s">
        <v>319</v>
      </c>
      <c r="L437" s="82" t="s">
        <v>320</v>
      </c>
      <c r="M437" s="82" t="s">
        <v>321</v>
      </c>
      <c r="N437" s="82" t="s">
        <v>322</v>
      </c>
      <c r="O437" s="82" t="s">
        <v>323</v>
      </c>
      <c r="P437" s="82" t="s">
        <v>324</v>
      </c>
      <c r="Q437" s="82" t="s">
        <v>325</v>
      </c>
      <c r="R437" s="82" t="s">
        <v>326</v>
      </c>
      <c r="S437" s="82" t="s">
        <v>327</v>
      </c>
      <c r="T437" s="82" t="s">
        <v>328</v>
      </c>
      <c r="U437" s="82" t="s">
        <v>329</v>
      </c>
      <c r="V437" s="82" t="s">
        <v>330</v>
      </c>
      <c r="W437" s="82"/>
      <c r="X437" s="82"/>
      <c r="Y437" s="82"/>
      <c r="Z437" s="82"/>
      <c r="AA437" s="82"/>
      <c r="AB437" s="83" t="s">
        <v>670</v>
      </c>
      <c r="AC437" s="83" t="s">
        <v>672</v>
      </c>
    </row>
    <row r="438" spans="1:29" ht="15" customHeight="1">
      <c r="A438" s="81">
        <v>437</v>
      </c>
      <c r="B438" s="81" t="s">
        <v>663</v>
      </c>
      <c r="C438" s="82" t="s">
        <v>908</v>
      </c>
      <c r="D438" s="82" t="s">
        <v>343</v>
      </c>
      <c r="E438" s="82" t="s">
        <v>344</v>
      </c>
      <c r="F438" s="82" t="s">
        <v>345</v>
      </c>
      <c r="G438" s="82" t="s">
        <v>349</v>
      </c>
      <c r="H438" s="82" t="s">
        <v>347</v>
      </c>
      <c r="I438" s="82" t="s">
        <v>317</v>
      </c>
      <c r="J438" s="82" t="s">
        <v>318</v>
      </c>
      <c r="K438" s="82" t="s">
        <v>319</v>
      </c>
      <c r="L438" s="82" t="s">
        <v>320</v>
      </c>
      <c r="M438" s="82" t="s">
        <v>321</v>
      </c>
      <c r="N438" s="82" t="s">
        <v>322</v>
      </c>
      <c r="O438" s="82" t="s">
        <v>323</v>
      </c>
      <c r="P438" s="82" t="s">
        <v>324</v>
      </c>
      <c r="Q438" s="82" t="s">
        <v>325</v>
      </c>
      <c r="R438" s="82" t="s">
        <v>326</v>
      </c>
      <c r="S438" s="82" t="s">
        <v>327</v>
      </c>
      <c r="T438" s="82" t="s">
        <v>328</v>
      </c>
      <c r="U438" s="82" t="s">
        <v>329</v>
      </c>
      <c r="V438" s="82" t="s">
        <v>330</v>
      </c>
      <c r="W438" s="82" t="s">
        <v>385</v>
      </c>
      <c r="X438" s="82"/>
      <c r="Y438" s="82"/>
      <c r="Z438" s="82"/>
      <c r="AA438" s="82"/>
      <c r="AB438" s="83" t="s">
        <v>670</v>
      </c>
      <c r="AC438" s="83" t="s">
        <v>672</v>
      </c>
    </row>
    <row r="439" spans="1:29" ht="15" customHeight="1">
      <c r="A439" s="81">
        <v>438</v>
      </c>
      <c r="B439" s="81" t="s">
        <v>663</v>
      </c>
      <c r="C439" s="82" t="s">
        <v>909</v>
      </c>
      <c r="D439" s="82" t="s">
        <v>343</v>
      </c>
      <c r="E439" s="82" t="s">
        <v>344</v>
      </c>
      <c r="F439" s="82" t="s">
        <v>345</v>
      </c>
      <c r="G439" s="82" t="s">
        <v>349</v>
      </c>
      <c r="H439" s="82" t="s">
        <v>347</v>
      </c>
      <c r="I439" s="82" t="s">
        <v>317</v>
      </c>
      <c r="J439" s="82" t="s">
        <v>318</v>
      </c>
      <c r="K439" s="82" t="s">
        <v>319</v>
      </c>
      <c r="L439" s="82" t="s">
        <v>320</v>
      </c>
      <c r="M439" s="82" t="s">
        <v>321</v>
      </c>
      <c r="N439" s="82" t="s">
        <v>322</v>
      </c>
      <c r="O439" s="82" t="s">
        <v>323</v>
      </c>
      <c r="P439" s="82" t="s">
        <v>324</v>
      </c>
      <c r="Q439" s="82" t="s">
        <v>325</v>
      </c>
      <c r="R439" s="82" t="s">
        <v>326</v>
      </c>
      <c r="S439" s="82" t="s">
        <v>327</v>
      </c>
      <c r="T439" s="82" t="s">
        <v>328</v>
      </c>
      <c r="U439" s="82" t="s">
        <v>329</v>
      </c>
      <c r="V439" s="82" t="s">
        <v>330</v>
      </c>
      <c r="W439" s="82"/>
      <c r="X439" s="82"/>
      <c r="Y439" s="82"/>
      <c r="Z439" s="82"/>
      <c r="AA439" s="82"/>
      <c r="AB439" s="83" t="s">
        <v>670</v>
      </c>
      <c r="AC439" s="83" t="s">
        <v>672</v>
      </c>
    </row>
    <row r="440" spans="1:29" ht="15" customHeight="1">
      <c r="A440" s="81">
        <v>439</v>
      </c>
      <c r="B440" s="81" t="s">
        <v>663</v>
      </c>
      <c r="C440" s="82" t="s">
        <v>910</v>
      </c>
      <c r="D440" s="82" t="s">
        <v>343</v>
      </c>
      <c r="E440" s="82" t="s">
        <v>344</v>
      </c>
      <c r="F440" s="82" t="s">
        <v>345</v>
      </c>
      <c r="G440" s="82" t="s">
        <v>349</v>
      </c>
      <c r="H440" s="82" t="s">
        <v>347</v>
      </c>
      <c r="I440" s="82" t="s">
        <v>317</v>
      </c>
      <c r="J440" s="82" t="s">
        <v>318</v>
      </c>
      <c r="K440" s="82" t="s">
        <v>319</v>
      </c>
      <c r="L440" s="82" t="s">
        <v>320</v>
      </c>
      <c r="M440" s="82" t="s">
        <v>321</v>
      </c>
      <c r="N440" s="82" t="s">
        <v>322</v>
      </c>
      <c r="O440" s="82" t="s">
        <v>323</v>
      </c>
      <c r="P440" s="82" t="s">
        <v>324</v>
      </c>
      <c r="Q440" s="82" t="s">
        <v>325</v>
      </c>
      <c r="R440" s="82" t="s">
        <v>326</v>
      </c>
      <c r="S440" s="82" t="s">
        <v>327</v>
      </c>
      <c r="T440" s="82" t="s">
        <v>328</v>
      </c>
      <c r="U440" s="82" t="s">
        <v>329</v>
      </c>
      <c r="V440" s="82" t="s">
        <v>330</v>
      </c>
      <c r="W440" s="82" t="s">
        <v>385</v>
      </c>
      <c r="X440" s="82"/>
      <c r="Y440" s="82"/>
      <c r="Z440" s="82"/>
      <c r="AA440" s="82"/>
      <c r="AB440" s="83" t="s">
        <v>670</v>
      </c>
      <c r="AC440" s="83" t="s">
        <v>672</v>
      </c>
    </row>
    <row r="441" spans="1:29" ht="15" customHeight="1">
      <c r="A441" s="81">
        <v>440</v>
      </c>
      <c r="B441" s="81" t="s">
        <v>663</v>
      </c>
      <c r="C441" s="82" t="s">
        <v>911</v>
      </c>
      <c r="D441" s="82" t="s">
        <v>343</v>
      </c>
      <c r="E441" s="82" t="s">
        <v>344</v>
      </c>
      <c r="F441" s="82" t="s">
        <v>345</v>
      </c>
      <c r="G441" s="82" t="s">
        <v>349</v>
      </c>
      <c r="H441" s="82" t="s">
        <v>347</v>
      </c>
      <c r="I441" s="82" t="s">
        <v>317</v>
      </c>
      <c r="J441" s="82" t="s">
        <v>318</v>
      </c>
      <c r="K441" s="82" t="s">
        <v>319</v>
      </c>
      <c r="L441" s="82" t="s">
        <v>320</v>
      </c>
      <c r="M441" s="82" t="s">
        <v>321</v>
      </c>
      <c r="N441" s="82" t="s">
        <v>322</v>
      </c>
      <c r="O441" s="82" t="s">
        <v>323</v>
      </c>
      <c r="P441" s="82" t="s">
        <v>324</v>
      </c>
      <c r="Q441" s="82" t="s">
        <v>325</v>
      </c>
      <c r="R441" s="82" t="s">
        <v>326</v>
      </c>
      <c r="S441" s="82" t="s">
        <v>327</v>
      </c>
      <c r="T441" s="82" t="s">
        <v>328</v>
      </c>
      <c r="U441" s="82" t="s">
        <v>329</v>
      </c>
      <c r="V441" s="82" t="s">
        <v>330</v>
      </c>
      <c r="W441" s="82" t="s">
        <v>331</v>
      </c>
      <c r="X441" s="82"/>
      <c r="Y441" s="82"/>
      <c r="Z441" s="82"/>
      <c r="AA441" s="82"/>
      <c r="AB441" s="83" t="s">
        <v>670</v>
      </c>
      <c r="AC441" s="83" t="s">
        <v>672</v>
      </c>
    </row>
    <row r="442" spans="1:29" ht="15" customHeight="1">
      <c r="A442" s="81">
        <v>441</v>
      </c>
      <c r="B442" s="81" t="s">
        <v>663</v>
      </c>
      <c r="C442" s="82" t="s">
        <v>912</v>
      </c>
      <c r="D442" s="82" t="s">
        <v>343</v>
      </c>
      <c r="E442" s="82" t="s">
        <v>344</v>
      </c>
      <c r="F442" s="82" t="s">
        <v>345</v>
      </c>
      <c r="G442" s="82" t="s">
        <v>349</v>
      </c>
      <c r="H442" s="82" t="s">
        <v>347</v>
      </c>
      <c r="I442" s="82" t="s">
        <v>317</v>
      </c>
      <c r="J442" s="82" t="s">
        <v>318</v>
      </c>
      <c r="K442" s="82" t="s">
        <v>319</v>
      </c>
      <c r="L442" s="82" t="s">
        <v>320</v>
      </c>
      <c r="M442" s="82" t="s">
        <v>321</v>
      </c>
      <c r="N442" s="82" t="s">
        <v>322</v>
      </c>
      <c r="O442" s="82" t="s">
        <v>323</v>
      </c>
      <c r="P442" s="82" t="s">
        <v>324</v>
      </c>
      <c r="Q442" s="82" t="s">
        <v>325</v>
      </c>
      <c r="R442" s="82" t="s">
        <v>326</v>
      </c>
      <c r="S442" s="82" t="s">
        <v>327</v>
      </c>
      <c r="T442" s="82" t="s">
        <v>328</v>
      </c>
      <c r="U442" s="82" t="s">
        <v>329</v>
      </c>
      <c r="V442" s="82" t="s">
        <v>330</v>
      </c>
      <c r="W442" s="82" t="s">
        <v>331</v>
      </c>
      <c r="X442" s="82" t="s">
        <v>385</v>
      </c>
      <c r="Y442" s="82"/>
      <c r="Z442" s="82"/>
      <c r="AA442" s="82"/>
      <c r="AB442" s="83" t="s">
        <v>670</v>
      </c>
      <c r="AC442" s="83" t="s">
        <v>672</v>
      </c>
    </row>
    <row r="443" spans="1:29" ht="15" customHeight="1">
      <c r="A443" s="81">
        <v>442</v>
      </c>
      <c r="B443" s="81" t="s">
        <v>663</v>
      </c>
      <c r="C443" s="82" t="s">
        <v>913</v>
      </c>
      <c r="D443" s="82" t="s">
        <v>343</v>
      </c>
      <c r="E443" s="82" t="s">
        <v>344</v>
      </c>
      <c r="F443" s="82" t="s">
        <v>345</v>
      </c>
      <c r="G443" s="82" t="s">
        <v>349</v>
      </c>
      <c r="H443" s="82" t="s">
        <v>347</v>
      </c>
      <c r="I443" s="82" t="s">
        <v>317</v>
      </c>
      <c r="J443" s="82" t="s">
        <v>318</v>
      </c>
      <c r="K443" s="82" t="s">
        <v>319</v>
      </c>
      <c r="L443" s="82" t="s">
        <v>320</v>
      </c>
      <c r="M443" s="82" t="s">
        <v>321</v>
      </c>
      <c r="N443" s="82" t="s">
        <v>322</v>
      </c>
      <c r="O443" s="82" t="s">
        <v>323</v>
      </c>
      <c r="P443" s="82" t="s">
        <v>324</v>
      </c>
      <c r="Q443" s="82" t="s">
        <v>325</v>
      </c>
      <c r="R443" s="82" t="s">
        <v>326</v>
      </c>
      <c r="S443" s="82" t="s">
        <v>327</v>
      </c>
      <c r="T443" s="82" t="s">
        <v>328</v>
      </c>
      <c r="U443" s="82" t="s">
        <v>329</v>
      </c>
      <c r="V443" s="82" t="s">
        <v>330</v>
      </c>
      <c r="W443" s="82" t="s">
        <v>331</v>
      </c>
      <c r="X443" s="82"/>
      <c r="Y443" s="82"/>
      <c r="Z443" s="82"/>
      <c r="AA443" s="82"/>
      <c r="AB443" s="83" t="s">
        <v>670</v>
      </c>
      <c r="AC443" s="83" t="s">
        <v>672</v>
      </c>
    </row>
    <row r="444" spans="1:29" ht="15" customHeight="1">
      <c r="A444" s="81">
        <v>443</v>
      </c>
      <c r="B444" s="81" t="s">
        <v>663</v>
      </c>
      <c r="C444" s="82" t="s">
        <v>914</v>
      </c>
      <c r="D444" s="82" t="s">
        <v>343</v>
      </c>
      <c r="E444" s="82" t="s">
        <v>344</v>
      </c>
      <c r="F444" s="82" t="s">
        <v>345</v>
      </c>
      <c r="G444" s="82" t="s">
        <v>349</v>
      </c>
      <c r="H444" s="82" t="s">
        <v>347</v>
      </c>
      <c r="I444" s="82" t="s">
        <v>317</v>
      </c>
      <c r="J444" s="82" t="s">
        <v>318</v>
      </c>
      <c r="K444" s="82" t="s">
        <v>319</v>
      </c>
      <c r="L444" s="82" t="s">
        <v>320</v>
      </c>
      <c r="M444" s="82" t="s">
        <v>321</v>
      </c>
      <c r="N444" s="82" t="s">
        <v>322</v>
      </c>
      <c r="O444" s="82" t="s">
        <v>323</v>
      </c>
      <c r="P444" s="82" t="s">
        <v>324</v>
      </c>
      <c r="Q444" s="82" t="s">
        <v>325</v>
      </c>
      <c r="R444" s="82" t="s">
        <v>326</v>
      </c>
      <c r="S444" s="82" t="s">
        <v>327</v>
      </c>
      <c r="T444" s="82" t="s">
        <v>328</v>
      </c>
      <c r="U444" s="82" t="s">
        <v>329</v>
      </c>
      <c r="V444" s="82" t="s">
        <v>330</v>
      </c>
      <c r="W444" s="82" t="s">
        <v>331</v>
      </c>
      <c r="X444" s="82" t="s">
        <v>385</v>
      </c>
      <c r="Y444" s="82"/>
      <c r="Z444" s="82"/>
      <c r="AA444" s="82"/>
      <c r="AB444" s="83" t="s">
        <v>670</v>
      </c>
      <c r="AC444" s="83" t="s">
        <v>672</v>
      </c>
    </row>
    <row r="445" spans="1:29" ht="15" customHeight="1">
      <c r="A445" s="81">
        <v>444</v>
      </c>
      <c r="B445" s="81" t="s">
        <v>663</v>
      </c>
      <c r="C445" s="82" t="s">
        <v>915</v>
      </c>
      <c r="D445" s="82" t="s">
        <v>343</v>
      </c>
      <c r="E445" s="82" t="s">
        <v>344</v>
      </c>
      <c r="F445" s="82" t="s">
        <v>345</v>
      </c>
      <c r="G445" s="82" t="s">
        <v>349</v>
      </c>
      <c r="H445" s="82" t="s">
        <v>347</v>
      </c>
      <c r="I445" s="82" t="s">
        <v>317</v>
      </c>
      <c r="J445" s="82" t="s">
        <v>318</v>
      </c>
      <c r="K445" s="82" t="s">
        <v>319</v>
      </c>
      <c r="L445" s="82" t="s">
        <v>320</v>
      </c>
      <c r="M445" s="82" t="s">
        <v>321</v>
      </c>
      <c r="N445" s="82" t="s">
        <v>322</v>
      </c>
      <c r="O445" s="82" t="s">
        <v>323</v>
      </c>
      <c r="P445" s="82" t="s">
        <v>324</v>
      </c>
      <c r="Q445" s="82" t="s">
        <v>325</v>
      </c>
      <c r="R445" s="82" t="s">
        <v>326</v>
      </c>
      <c r="S445" s="82" t="s">
        <v>327</v>
      </c>
      <c r="T445" s="82" t="s">
        <v>328</v>
      </c>
      <c r="U445" s="82" t="s">
        <v>329</v>
      </c>
      <c r="V445" s="82" t="s">
        <v>330</v>
      </c>
      <c r="W445" s="82" t="s">
        <v>331</v>
      </c>
      <c r="X445" s="82" t="s">
        <v>332</v>
      </c>
      <c r="Y445" s="82"/>
      <c r="Z445" s="82"/>
      <c r="AA445" s="82"/>
      <c r="AB445" s="83" t="s">
        <v>670</v>
      </c>
      <c r="AC445" s="83" t="s">
        <v>672</v>
      </c>
    </row>
    <row r="446" spans="1:29" ht="15" customHeight="1">
      <c r="A446" s="81">
        <v>445</v>
      </c>
      <c r="B446" s="81" t="s">
        <v>663</v>
      </c>
      <c r="C446" s="82" t="s">
        <v>916</v>
      </c>
      <c r="D446" s="82" t="s">
        <v>343</v>
      </c>
      <c r="E446" s="82" t="s">
        <v>344</v>
      </c>
      <c r="F446" s="82" t="s">
        <v>345</v>
      </c>
      <c r="G446" s="82" t="s">
        <v>349</v>
      </c>
      <c r="H446" s="82" t="s">
        <v>347</v>
      </c>
      <c r="I446" s="82" t="s">
        <v>317</v>
      </c>
      <c r="J446" s="82" t="s">
        <v>318</v>
      </c>
      <c r="K446" s="82" t="s">
        <v>319</v>
      </c>
      <c r="L446" s="82" t="s">
        <v>320</v>
      </c>
      <c r="M446" s="82" t="s">
        <v>321</v>
      </c>
      <c r="N446" s="82" t="s">
        <v>322</v>
      </c>
      <c r="O446" s="82" t="s">
        <v>323</v>
      </c>
      <c r="P446" s="82" t="s">
        <v>324</v>
      </c>
      <c r="Q446" s="82" t="s">
        <v>325</v>
      </c>
      <c r="R446" s="82" t="s">
        <v>326</v>
      </c>
      <c r="S446" s="82" t="s">
        <v>327</v>
      </c>
      <c r="T446" s="82" t="s">
        <v>328</v>
      </c>
      <c r="U446" s="82" t="s">
        <v>329</v>
      </c>
      <c r="V446" s="82" t="s">
        <v>330</v>
      </c>
      <c r="W446" s="82" t="s">
        <v>331</v>
      </c>
      <c r="X446" s="82" t="s">
        <v>332</v>
      </c>
      <c r="Y446" s="82" t="s">
        <v>385</v>
      </c>
      <c r="Z446" s="82"/>
      <c r="AA446" s="82"/>
      <c r="AB446" s="83" t="s">
        <v>670</v>
      </c>
      <c r="AC446" s="83" t="s">
        <v>672</v>
      </c>
    </row>
    <row r="447" spans="1:29" ht="15" customHeight="1">
      <c r="A447" s="81">
        <v>446</v>
      </c>
      <c r="B447" s="81" t="s">
        <v>663</v>
      </c>
      <c r="C447" s="82" t="s">
        <v>917</v>
      </c>
      <c r="D447" s="82" t="s">
        <v>343</v>
      </c>
      <c r="E447" s="82" t="s">
        <v>344</v>
      </c>
      <c r="F447" s="82" t="s">
        <v>345</v>
      </c>
      <c r="G447" s="82" t="s">
        <v>349</v>
      </c>
      <c r="H447" s="82" t="s">
        <v>347</v>
      </c>
      <c r="I447" s="82" t="s">
        <v>317</v>
      </c>
      <c r="J447" s="82" t="s">
        <v>318</v>
      </c>
      <c r="K447" s="82" t="s">
        <v>319</v>
      </c>
      <c r="L447" s="82" t="s">
        <v>320</v>
      </c>
      <c r="M447" s="82" t="s">
        <v>321</v>
      </c>
      <c r="N447" s="82" t="s">
        <v>322</v>
      </c>
      <c r="O447" s="82" t="s">
        <v>323</v>
      </c>
      <c r="P447" s="82" t="s">
        <v>324</v>
      </c>
      <c r="Q447" s="82" t="s">
        <v>325</v>
      </c>
      <c r="R447" s="82" t="s">
        <v>326</v>
      </c>
      <c r="S447" s="82" t="s">
        <v>327</v>
      </c>
      <c r="T447" s="82" t="s">
        <v>328</v>
      </c>
      <c r="U447" s="82" t="s">
        <v>329</v>
      </c>
      <c r="V447" s="82" t="s">
        <v>330</v>
      </c>
      <c r="W447" s="82" t="s">
        <v>331</v>
      </c>
      <c r="X447" s="82" t="s">
        <v>332</v>
      </c>
      <c r="Y447" s="82"/>
      <c r="Z447" s="82"/>
      <c r="AA447" s="82"/>
      <c r="AB447" s="83" t="s">
        <v>670</v>
      </c>
      <c r="AC447" s="83" t="s">
        <v>672</v>
      </c>
    </row>
    <row r="448" spans="1:29" ht="15" customHeight="1">
      <c r="A448" s="81">
        <v>447</v>
      </c>
      <c r="B448" s="81" t="s">
        <v>663</v>
      </c>
      <c r="C448" s="82" t="s">
        <v>918</v>
      </c>
      <c r="D448" s="82" t="s">
        <v>343</v>
      </c>
      <c r="E448" s="82" t="s">
        <v>344</v>
      </c>
      <c r="F448" s="82" t="s">
        <v>345</v>
      </c>
      <c r="G448" s="82" t="s">
        <v>349</v>
      </c>
      <c r="H448" s="82" t="s">
        <v>347</v>
      </c>
      <c r="I448" s="82" t="s">
        <v>317</v>
      </c>
      <c r="J448" s="82" t="s">
        <v>318</v>
      </c>
      <c r="K448" s="82" t="s">
        <v>319</v>
      </c>
      <c r="L448" s="82" t="s">
        <v>320</v>
      </c>
      <c r="M448" s="82" t="s">
        <v>321</v>
      </c>
      <c r="N448" s="82" t="s">
        <v>322</v>
      </c>
      <c r="O448" s="82" t="s">
        <v>323</v>
      </c>
      <c r="P448" s="82" t="s">
        <v>324</v>
      </c>
      <c r="Q448" s="82" t="s">
        <v>325</v>
      </c>
      <c r="R448" s="82" t="s">
        <v>326</v>
      </c>
      <c r="S448" s="82" t="s">
        <v>327</v>
      </c>
      <c r="T448" s="82" t="s">
        <v>328</v>
      </c>
      <c r="U448" s="82" t="s">
        <v>329</v>
      </c>
      <c r="V448" s="82" t="s">
        <v>330</v>
      </c>
      <c r="W448" s="82" t="s">
        <v>331</v>
      </c>
      <c r="X448" s="82" t="s">
        <v>332</v>
      </c>
      <c r="Y448" s="82" t="s">
        <v>385</v>
      </c>
      <c r="Z448" s="82"/>
      <c r="AA448" s="82"/>
      <c r="AB448" s="83" t="s">
        <v>670</v>
      </c>
      <c r="AC448" s="83" t="s">
        <v>672</v>
      </c>
    </row>
    <row r="449" spans="1:29" ht="15" customHeight="1">
      <c r="A449" s="81">
        <v>448</v>
      </c>
      <c r="B449" s="81" t="s">
        <v>663</v>
      </c>
      <c r="C449" s="82" t="s">
        <v>919</v>
      </c>
      <c r="D449" s="82" t="s">
        <v>343</v>
      </c>
      <c r="E449" s="82" t="s">
        <v>344</v>
      </c>
      <c r="F449" s="82" t="s">
        <v>345</v>
      </c>
      <c r="G449" s="82" t="s">
        <v>349</v>
      </c>
      <c r="H449" s="82" t="s">
        <v>347</v>
      </c>
      <c r="I449" s="82" t="s">
        <v>317</v>
      </c>
      <c r="J449" s="82" t="s">
        <v>318</v>
      </c>
      <c r="K449" s="82" t="s">
        <v>319</v>
      </c>
      <c r="L449" s="82" t="s">
        <v>320</v>
      </c>
      <c r="M449" s="82" t="s">
        <v>321</v>
      </c>
      <c r="N449" s="82" t="s">
        <v>322</v>
      </c>
      <c r="O449" s="82" t="s">
        <v>323</v>
      </c>
      <c r="P449" s="82" t="s">
        <v>324</v>
      </c>
      <c r="Q449" s="82" t="s">
        <v>325</v>
      </c>
      <c r="R449" s="82" t="s">
        <v>326</v>
      </c>
      <c r="S449" s="82" t="s">
        <v>327</v>
      </c>
      <c r="T449" s="82" t="s">
        <v>328</v>
      </c>
      <c r="U449" s="82" t="s">
        <v>329</v>
      </c>
      <c r="V449" s="82" t="s">
        <v>330</v>
      </c>
      <c r="W449" s="82" t="s">
        <v>331</v>
      </c>
      <c r="X449" s="82" t="s">
        <v>332</v>
      </c>
      <c r="Y449" s="82" t="s">
        <v>333</v>
      </c>
      <c r="Z449" s="82"/>
      <c r="AA449" s="82"/>
      <c r="AB449" s="83" t="s">
        <v>670</v>
      </c>
      <c r="AC449" s="83" t="s">
        <v>672</v>
      </c>
    </row>
    <row r="450" spans="1:29" ht="15" customHeight="1">
      <c r="A450" s="81">
        <v>449</v>
      </c>
      <c r="B450" s="81" t="s">
        <v>663</v>
      </c>
      <c r="C450" s="82" t="s">
        <v>920</v>
      </c>
      <c r="D450" s="82" t="s">
        <v>343</v>
      </c>
      <c r="E450" s="82" t="s">
        <v>344</v>
      </c>
      <c r="F450" s="82" t="s">
        <v>345</v>
      </c>
      <c r="G450" s="82" t="s">
        <v>349</v>
      </c>
      <c r="H450" s="82" t="s">
        <v>347</v>
      </c>
      <c r="I450" s="82" t="s">
        <v>317</v>
      </c>
      <c r="J450" s="82" t="s">
        <v>318</v>
      </c>
      <c r="K450" s="82" t="s">
        <v>319</v>
      </c>
      <c r="L450" s="82" t="s">
        <v>320</v>
      </c>
      <c r="M450" s="82" t="s">
        <v>321</v>
      </c>
      <c r="N450" s="82" t="s">
        <v>322</v>
      </c>
      <c r="O450" s="82" t="s">
        <v>323</v>
      </c>
      <c r="P450" s="82" t="s">
        <v>324</v>
      </c>
      <c r="Q450" s="82" t="s">
        <v>325</v>
      </c>
      <c r="R450" s="82" t="s">
        <v>326</v>
      </c>
      <c r="S450" s="82" t="s">
        <v>327</v>
      </c>
      <c r="T450" s="82" t="s">
        <v>328</v>
      </c>
      <c r="U450" s="82" t="s">
        <v>329</v>
      </c>
      <c r="V450" s="82" t="s">
        <v>330</v>
      </c>
      <c r="W450" s="82" t="s">
        <v>331</v>
      </c>
      <c r="X450" s="82" t="s">
        <v>332</v>
      </c>
      <c r="Y450" s="82" t="s">
        <v>333</v>
      </c>
      <c r="Z450" s="82" t="s">
        <v>385</v>
      </c>
      <c r="AA450" s="82"/>
      <c r="AB450" s="83" t="s">
        <v>670</v>
      </c>
      <c r="AC450" s="83" t="s">
        <v>672</v>
      </c>
    </row>
    <row r="451" spans="1:29" ht="15" customHeight="1">
      <c r="A451" s="81">
        <v>450</v>
      </c>
      <c r="B451" s="81" t="s">
        <v>663</v>
      </c>
      <c r="C451" s="82" t="s">
        <v>921</v>
      </c>
      <c r="D451" s="82" t="s">
        <v>343</v>
      </c>
      <c r="E451" s="82" t="s">
        <v>344</v>
      </c>
      <c r="F451" s="82" t="s">
        <v>345</v>
      </c>
      <c r="G451" s="82" t="s">
        <v>349</v>
      </c>
      <c r="H451" s="82" t="s">
        <v>347</v>
      </c>
      <c r="I451" s="82" t="s">
        <v>317</v>
      </c>
      <c r="J451" s="82" t="s">
        <v>318</v>
      </c>
      <c r="K451" s="82" t="s">
        <v>319</v>
      </c>
      <c r="L451" s="82" t="s">
        <v>320</v>
      </c>
      <c r="M451" s="82" t="s">
        <v>321</v>
      </c>
      <c r="N451" s="82" t="s">
        <v>322</v>
      </c>
      <c r="O451" s="82" t="s">
        <v>323</v>
      </c>
      <c r="P451" s="82" t="s">
        <v>324</v>
      </c>
      <c r="Q451" s="82" t="s">
        <v>325</v>
      </c>
      <c r="R451" s="82" t="s">
        <v>326</v>
      </c>
      <c r="S451" s="82" t="s">
        <v>327</v>
      </c>
      <c r="T451" s="82" t="s">
        <v>328</v>
      </c>
      <c r="U451" s="82" t="s">
        <v>329</v>
      </c>
      <c r="V451" s="82" t="s">
        <v>330</v>
      </c>
      <c r="W451" s="82" t="s">
        <v>331</v>
      </c>
      <c r="X451" s="82" t="s">
        <v>332</v>
      </c>
      <c r="Y451" s="82" t="s">
        <v>333</v>
      </c>
      <c r="Z451" s="82"/>
      <c r="AA451" s="82"/>
      <c r="AB451" s="83" t="s">
        <v>670</v>
      </c>
      <c r="AC451" s="83" t="s">
        <v>672</v>
      </c>
    </row>
    <row r="452" spans="1:29" ht="15" customHeight="1">
      <c r="A452" s="81">
        <v>451</v>
      </c>
      <c r="B452" s="81" t="s">
        <v>663</v>
      </c>
      <c r="C452" s="82" t="s">
        <v>922</v>
      </c>
      <c r="D452" s="82" t="s">
        <v>343</v>
      </c>
      <c r="E452" s="82" t="s">
        <v>344</v>
      </c>
      <c r="F452" s="82" t="s">
        <v>345</v>
      </c>
      <c r="G452" s="82" t="s">
        <v>349</v>
      </c>
      <c r="H452" s="82" t="s">
        <v>347</v>
      </c>
      <c r="I452" s="82" t="s">
        <v>317</v>
      </c>
      <c r="J452" s="82" t="s">
        <v>318</v>
      </c>
      <c r="K452" s="82" t="s">
        <v>319</v>
      </c>
      <c r="L452" s="82" t="s">
        <v>320</v>
      </c>
      <c r="M452" s="82" t="s">
        <v>321</v>
      </c>
      <c r="N452" s="82" t="s">
        <v>322</v>
      </c>
      <c r="O452" s="82" t="s">
        <v>323</v>
      </c>
      <c r="P452" s="82" t="s">
        <v>324</v>
      </c>
      <c r="Q452" s="82" t="s">
        <v>325</v>
      </c>
      <c r="R452" s="82" t="s">
        <v>326</v>
      </c>
      <c r="S452" s="82" t="s">
        <v>327</v>
      </c>
      <c r="T452" s="82" t="s">
        <v>328</v>
      </c>
      <c r="U452" s="82" t="s">
        <v>329</v>
      </c>
      <c r="V452" s="82" t="s">
        <v>330</v>
      </c>
      <c r="W452" s="82" t="s">
        <v>331</v>
      </c>
      <c r="X452" s="82" t="s">
        <v>332</v>
      </c>
      <c r="Y452" s="82" t="s">
        <v>333</v>
      </c>
      <c r="Z452" s="82" t="s">
        <v>385</v>
      </c>
      <c r="AA452" s="82"/>
      <c r="AB452" s="83" t="s">
        <v>670</v>
      </c>
      <c r="AC452" s="83" t="s">
        <v>672</v>
      </c>
    </row>
    <row r="453" spans="1:29" ht="15" customHeight="1">
      <c r="A453" s="81">
        <v>452</v>
      </c>
      <c r="B453" s="81" t="s">
        <v>663</v>
      </c>
      <c r="C453" s="82" t="s">
        <v>923</v>
      </c>
      <c r="D453" s="82" t="s">
        <v>343</v>
      </c>
      <c r="E453" s="82" t="s">
        <v>344</v>
      </c>
      <c r="F453" s="82" t="s">
        <v>345</v>
      </c>
      <c r="G453" s="82" t="s">
        <v>349</v>
      </c>
      <c r="H453" s="82" t="s">
        <v>347</v>
      </c>
      <c r="I453" s="82" t="s">
        <v>317</v>
      </c>
      <c r="J453" s="82" t="s">
        <v>318</v>
      </c>
      <c r="K453" s="82" t="s">
        <v>319</v>
      </c>
      <c r="L453" s="82" t="s">
        <v>320</v>
      </c>
      <c r="M453" s="82" t="s">
        <v>321</v>
      </c>
      <c r="N453" s="82" t="s">
        <v>322</v>
      </c>
      <c r="O453" s="82" t="s">
        <v>323</v>
      </c>
      <c r="P453" s="82" t="s">
        <v>324</v>
      </c>
      <c r="Q453" s="82" t="s">
        <v>325</v>
      </c>
      <c r="R453" s="82" t="s">
        <v>326</v>
      </c>
      <c r="S453" s="82" t="s">
        <v>327</v>
      </c>
      <c r="T453" s="82" t="s">
        <v>328</v>
      </c>
      <c r="U453" s="82" t="s">
        <v>329</v>
      </c>
      <c r="V453" s="82" t="s">
        <v>330</v>
      </c>
      <c r="W453" s="82" t="s">
        <v>331</v>
      </c>
      <c r="X453" s="82" t="s">
        <v>332</v>
      </c>
      <c r="Y453" s="82" t="s">
        <v>333</v>
      </c>
      <c r="Z453" s="82" t="s">
        <v>334</v>
      </c>
      <c r="AA453" s="82"/>
      <c r="AB453" s="83" t="s">
        <v>670</v>
      </c>
      <c r="AC453" s="83" t="s">
        <v>672</v>
      </c>
    </row>
    <row r="454" spans="1:29" ht="15" customHeight="1">
      <c r="A454" s="81">
        <v>453</v>
      </c>
      <c r="B454" s="81" t="s">
        <v>663</v>
      </c>
      <c r="C454" s="82" t="s">
        <v>924</v>
      </c>
      <c r="D454" s="82" t="s">
        <v>343</v>
      </c>
      <c r="E454" s="82" t="s">
        <v>344</v>
      </c>
      <c r="F454" s="82" t="s">
        <v>345</v>
      </c>
      <c r="G454" s="82" t="s">
        <v>349</v>
      </c>
      <c r="H454" s="82" t="s">
        <v>347</v>
      </c>
      <c r="I454" s="82" t="s">
        <v>317</v>
      </c>
      <c r="J454" s="82" t="s">
        <v>318</v>
      </c>
      <c r="K454" s="82" t="s">
        <v>319</v>
      </c>
      <c r="L454" s="82" t="s">
        <v>320</v>
      </c>
      <c r="M454" s="82" t="s">
        <v>321</v>
      </c>
      <c r="N454" s="82" t="s">
        <v>322</v>
      </c>
      <c r="O454" s="82" t="s">
        <v>323</v>
      </c>
      <c r="P454" s="82" t="s">
        <v>324</v>
      </c>
      <c r="Q454" s="82" t="s">
        <v>325</v>
      </c>
      <c r="R454" s="82" t="s">
        <v>326</v>
      </c>
      <c r="S454" s="82" t="s">
        <v>327</v>
      </c>
      <c r="T454" s="82" t="s">
        <v>328</v>
      </c>
      <c r="U454" s="82" t="s">
        <v>329</v>
      </c>
      <c r="V454" s="82" t="s">
        <v>330</v>
      </c>
      <c r="W454" s="82" t="s">
        <v>331</v>
      </c>
      <c r="X454" s="82" t="s">
        <v>332</v>
      </c>
      <c r="Y454" s="82" t="s">
        <v>333</v>
      </c>
      <c r="Z454" s="82" t="s">
        <v>334</v>
      </c>
      <c r="AA454" s="82" t="s">
        <v>385</v>
      </c>
      <c r="AB454" s="83" t="s">
        <v>670</v>
      </c>
      <c r="AC454" s="83" t="s">
        <v>672</v>
      </c>
    </row>
    <row r="455" spans="1:29" ht="15" customHeight="1">
      <c r="A455" s="81">
        <v>454</v>
      </c>
      <c r="B455" s="81" t="s">
        <v>663</v>
      </c>
      <c r="C455" s="82" t="s">
        <v>925</v>
      </c>
      <c r="D455" s="82" t="s">
        <v>343</v>
      </c>
      <c r="E455" s="82" t="s">
        <v>344</v>
      </c>
      <c r="F455" s="82" t="s">
        <v>345</v>
      </c>
      <c r="G455" s="82" t="s">
        <v>349</v>
      </c>
      <c r="H455" s="82" t="s">
        <v>347</v>
      </c>
      <c r="I455" s="82" t="s">
        <v>317</v>
      </c>
      <c r="J455" s="82" t="s">
        <v>318</v>
      </c>
      <c r="K455" s="82" t="s">
        <v>319</v>
      </c>
      <c r="L455" s="82" t="s">
        <v>320</v>
      </c>
      <c r="M455" s="82" t="s">
        <v>321</v>
      </c>
      <c r="N455" s="82" t="s">
        <v>322</v>
      </c>
      <c r="O455" s="82" t="s">
        <v>323</v>
      </c>
      <c r="P455" s="82" t="s">
        <v>324</v>
      </c>
      <c r="Q455" s="82" t="s">
        <v>325</v>
      </c>
      <c r="R455" s="82" t="s">
        <v>326</v>
      </c>
      <c r="S455" s="82" t="s">
        <v>327</v>
      </c>
      <c r="T455" s="82" t="s">
        <v>328</v>
      </c>
      <c r="U455" s="82" t="s">
        <v>329</v>
      </c>
      <c r="V455" s="82" t="s">
        <v>330</v>
      </c>
      <c r="W455" s="82" t="s">
        <v>331</v>
      </c>
      <c r="X455" s="82" t="s">
        <v>332</v>
      </c>
      <c r="Y455" s="82" t="s">
        <v>333</v>
      </c>
      <c r="Z455" s="82" t="s">
        <v>334</v>
      </c>
      <c r="AA455" s="82"/>
      <c r="AB455" s="83" t="s">
        <v>670</v>
      </c>
      <c r="AC455" s="83" t="s">
        <v>672</v>
      </c>
    </row>
    <row r="456" spans="1:29" ht="15" customHeight="1">
      <c r="A456" s="81">
        <v>455</v>
      </c>
      <c r="B456" s="81" t="s">
        <v>663</v>
      </c>
      <c r="C456" s="82" t="s">
        <v>926</v>
      </c>
      <c r="D456" s="82" t="s">
        <v>343</v>
      </c>
      <c r="E456" s="82" t="s">
        <v>344</v>
      </c>
      <c r="F456" s="82" t="s">
        <v>345</v>
      </c>
      <c r="G456" s="82" t="s">
        <v>349</v>
      </c>
      <c r="H456" s="82" t="s">
        <v>347</v>
      </c>
      <c r="I456" s="82" t="s">
        <v>317</v>
      </c>
      <c r="J456" s="82" t="s">
        <v>318</v>
      </c>
      <c r="K456" s="82" t="s">
        <v>319</v>
      </c>
      <c r="L456" s="82" t="s">
        <v>320</v>
      </c>
      <c r="M456" s="82" t="s">
        <v>321</v>
      </c>
      <c r="N456" s="82" t="s">
        <v>322</v>
      </c>
      <c r="O456" s="82" t="s">
        <v>323</v>
      </c>
      <c r="P456" s="82" t="s">
        <v>324</v>
      </c>
      <c r="Q456" s="82" t="s">
        <v>325</v>
      </c>
      <c r="R456" s="82" t="s">
        <v>326</v>
      </c>
      <c r="S456" s="82" t="s">
        <v>327</v>
      </c>
      <c r="T456" s="82" t="s">
        <v>328</v>
      </c>
      <c r="U456" s="82" t="s">
        <v>329</v>
      </c>
      <c r="V456" s="82" t="s">
        <v>330</v>
      </c>
      <c r="W456" s="82" t="s">
        <v>331</v>
      </c>
      <c r="X456" s="82" t="s">
        <v>332</v>
      </c>
      <c r="Y456" s="82" t="s">
        <v>333</v>
      </c>
      <c r="Z456" s="82" t="s">
        <v>334</v>
      </c>
      <c r="AA456" s="82" t="s">
        <v>385</v>
      </c>
      <c r="AB456" s="83" t="s">
        <v>670</v>
      </c>
      <c r="AC456" s="83" t="s">
        <v>672</v>
      </c>
    </row>
    <row r="457" spans="1:29" ht="15" customHeight="1">
      <c r="A457" s="81">
        <v>456</v>
      </c>
      <c r="B457" s="81" t="s">
        <v>663</v>
      </c>
      <c r="C457" s="82" t="s">
        <v>927</v>
      </c>
      <c r="D457" s="82" t="s">
        <v>343</v>
      </c>
      <c r="E457" s="82" t="s">
        <v>344</v>
      </c>
      <c r="F457" s="82" t="s">
        <v>345</v>
      </c>
      <c r="G457" s="82" t="s">
        <v>349</v>
      </c>
      <c r="H457" s="82" t="s">
        <v>347</v>
      </c>
      <c r="I457" s="82" t="s">
        <v>317</v>
      </c>
      <c r="J457" s="82" t="s">
        <v>318</v>
      </c>
      <c r="K457" s="82" t="s">
        <v>319</v>
      </c>
      <c r="L457" s="82" t="s">
        <v>320</v>
      </c>
      <c r="M457" s="82" t="s">
        <v>321</v>
      </c>
      <c r="N457" s="82" t="s">
        <v>322</v>
      </c>
      <c r="O457" s="82" t="s">
        <v>323</v>
      </c>
      <c r="P457" s="82" t="s">
        <v>324</v>
      </c>
      <c r="Q457" s="82" t="s">
        <v>325</v>
      </c>
      <c r="R457" s="82" t="s">
        <v>326</v>
      </c>
      <c r="S457" s="82" t="s">
        <v>327</v>
      </c>
      <c r="T457" s="82" t="s">
        <v>328</v>
      </c>
      <c r="U457" s="82" t="s">
        <v>329</v>
      </c>
      <c r="V457" s="82" t="s">
        <v>330</v>
      </c>
      <c r="W457" s="82" t="s">
        <v>331</v>
      </c>
      <c r="X457" s="82" t="s">
        <v>332</v>
      </c>
      <c r="Y457" s="82" t="s">
        <v>333</v>
      </c>
      <c r="Z457" s="82" t="s">
        <v>334</v>
      </c>
      <c r="AA457" s="82" t="s">
        <v>335</v>
      </c>
      <c r="AB457" s="83" t="s">
        <v>670</v>
      </c>
      <c r="AC457" s="83" t="s">
        <v>672</v>
      </c>
    </row>
    <row r="458" spans="1:29" ht="15" customHeight="1">
      <c r="A458" s="81">
        <v>457</v>
      </c>
      <c r="B458" s="81" t="s">
        <v>663</v>
      </c>
      <c r="C458" s="82" t="s">
        <v>928</v>
      </c>
      <c r="D458" s="82" t="s">
        <v>343</v>
      </c>
      <c r="E458" s="82" t="s">
        <v>344</v>
      </c>
      <c r="F458" s="82" t="s">
        <v>345</v>
      </c>
      <c r="G458" s="82" t="s">
        <v>349</v>
      </c>
      <c r="H458" s="82" t="s">
        <v>347</v>
      </c>
      <c r="I458" s="82" t="s">
        <v>317</v>
      </c>
      <c r="J458" s="82" t="s">
        <v>318</v>
      </c>
      <c r="K458" s="82" t="s">
        <v>319</v>
      </c>
      <c r="L458" s="82" t="s">
        <v>320</v>
      </c>
      <c r="M458" s="82" t="s">
        <v>321</v>
      </c>
      <c r="N458" s="82" t="s">
        <v>322</v>
      </c>
      <c r="O458" s="82" t="s">
        <v>323</v>
      </c>
      <c r="P458" s="82" t="s">
        <v>324</v>
      </c>
      <c r="Q458" s="82" t="s">
        <v>325</v>
      </c>
      <c r="R458" s="82" t="s">
        <v>326</v>
      </c>
      <c r="S458" s="82" t="s">
        <v>327</v>
      </c>
      <c r="T458" s="82" t="s">
        <v>328</v>
      </c>
      <c r="U458" s="82" t="s">
        <v>329</v>
      </c>
      <c r="V458" s="82" t="s">
        <v>330</v>
      </c>
      <c r="W458" s="82" t="s">
        <v>331</v>
      </c>
      <c r="X458" s="82" t="s">
        <v>332</v>
      </c>
      <c r="Y458" s="82" t="s">
        <v>333</v>
      </c>
      <c r="Z458" s="82" t="s">
        <v>334</v>
      </c>
      <c r="AA458" s="82" t="s">
        <v>335</v>
      </c>
      <c r="AB458" s="83" t="s">
        <v>670</v>
      </c>
      <c r="AC458" s="83" t="s">
        <v>672</v>
      </c>
    </row>
    <row r="459" spans="1:29" ht="15" customHeight="1">
      <c r="A459" s="81">
        <v>458</v>
      </c>
      <c r="B459" s="81" t="s">
        <v>663</v>
      </c>
      <c r="C459" s="82" t="s">
        <v>929</v>
      </c>
      <c r="D459" s="82" t="s">
        <v>342</v>
      </c>
      <c r="E459" s="82" t="s">
        <v>343</v>
      </c>
      <c r="F459" s="82" t="s">
        <v>344</v>
      </c>
      <c r="G459" s="82" t="s">
        <v>345</v>
      </c>
      <c r="H459" s="82" t="s">
        <v>349</v>
      </c>
      <c r="I459" s="82" t="s">
        <v>347</v>
      </c>
      <c r="J459" s="82" t="s">
        <v>385</v>
      </c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3" t="s">
        <v>670</v>
      </c>
      <c r="AC459" s="83" t="s">
        <v>672</v>
      </c>
    </row>
    <row r="460" spans="1:29" ht="15" customHeight="1">
      <c r="A460" s="81">
        <v>459</v>
      </c>
      <c r="B460" s="81" t="s">
        <v>663</v>
      </c>
      <c r="C460" s="82" t="s">
        <v>930</v>
      </c>
      <c r="D460" s="82" t="s">
        <v>342</v>
      </c>
      <c r="E460" s="82" t="s">
        <v>343</v>
      </c>
      <c r="F460" s="82" t="s">
        <v>344</v>
      </c>
      <c r="G460" s="82" t="s">
        <v>345</v>
      </c>
      <c r="H460" s="82" t="s">
        <v>349</v>
      </c>
      <c r="I460" s="82" t="s">
        <v>347</v>
      </c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3" t="s">
        <v>670</v>
      </c>
      <c r="AC460" s="83" t="s">
        <v>672</v>
      </c>
    </row>
    <row r="461" spans="1:29" ht="15" customHeight="1">
      <c r="A461" s="81">
        <v>460</v>
      </c>
      <c r="B461" s="81" t="s">
        <v>663</v>
      </c>
      <c r="C461" s="82" t="s">
        <v>931</v>
      </c>
      <c r="D461" s="82" t="s">
        <v>342</v>
      </c>
      <c r="E461" s="82" t="s">
        <v>343</v>
      </c>
      <c r="F461" s="82" t="s">
        <v>344</v>
      </c>
      <c r="G461" s="82" t="s">
        <v>345</v>
      </c>
      <c r="H461" s="82" t="s">
        <v>349</v>
      </c>
      <c r="I461" s="82" t="s">
        <v>347</v>
      </c>
      <c r="J461" s="82" t="s">
        <v>385</v>
      </c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3" t="s">
        <v>670</v>
      </c>
      <c r="AC461" s="83" t="s">
        <v>672</v>
      </c>
    </row>
    <row r="462" spans="1:29" ht="15" customHeight="1">
      <c r="A462" s="81">
        <v>461</v>
      </c>
      <c r="B462" s="81" t="s">
        <v>663</v>
      </c>
      <c r="C462" s="82" t="s">
        <v>932</v>
      </c>
      <c r="D462" s="82" t="s">
        <v>342</v>
      </c>
      <c r="E462" s="82" t="s">
        <v>343</v>
      </c>
      <c r="F462" s="82" t="s">
        <v>344</v>
      </c>
      <c r="G462" s="82" t="s">
        <v>345</v>
      </c>
      <c r="H462" s="82" t="s">
        <v>349</v>
      </c>
      <c r="I462" s="82" t="s">
        <v>347</v>
      </c>
      <c r="J462" s="82" t="s">
        <v>317</v>
      </c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3" t="s">
        <v>670</v>
      </c>
      <c r="AC462" s="83" t="s">
        <v>672</v>
      </c>
    </row>
    <row r="463" spans="1:29" ht="15" customHeight="1">
      <c r="A463" s="81">
        <v>462</v>
      </c>
      <c r="B463" s="81" t="s">
        <v>663</v>
      </c>
      <c r="C463" s="82" t="s">
        <v>933</v>
      </c>
      <c r="D463" s="82" t="s">
        <v>342</v>
      </c>
      <c r="E463" s="82" t="s">
        <v>343</v>
      </c>
      <c r="F463" s="82" t="s">
        <v>344</v>
      </c>
      <c r="G463" s="82" t="s">
        <v>345</v>
      </c>
      <c r="H463" s="82" t="s">
        <v>349</v>
      </c>
      <c r="I463" s="82" t="s">
        <v>347</v>
      </c>
      <c r="J463" s="82" t="s">
        <v>317</v>
      </c>
      <c r="K463" s="82" t="s">
        <v>385</v>
      </c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3" t="s">
        <v>670</v>
      </c>
      <c r="AC463" s="83" t="s">
        <v>672</v>
      </c>
    </row>
    <row r="464" spans="1:29" ht="15" customHeight="1">
      <c r="A464" s="81">
        <v>463</v>
      </c>
      <c r="B464" s="81" t="s">
        <v>663</v>
      </c>
      <c r="C464" s="82" t="s">
        <v>934</v>
      </c>
      <c r="D464" s="82" t="s">
        <v>342</v>
      </c>
      <c r="E464" s="82" t="s">
        <v>343</v>
      </c>
      <c r="F464" s="82" t="s">
        <v>344</v>
      </c>
      <c r="G464" s="82" t="s">
        <v>345</v>
      </c>
      <c r="H464" s="82" t="s">
        <v>349</v>
      </c>
      <c r="I464" s="82" t="s">
        <v>347</v>
      </c>
      <c r="J464" s="82" t="s">
        <v>317</v>
      </c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3" t="s">
        <v>670</v>
      </c>
      <c r="AC464" s="83" t="s">
        <v>672</v>
      </c>
    </row>
    <row r="465" spans="1:29" ht="15" customHeight="1">
      <c r="A465" s="81">
        <v>464</v>
      </c>
      <c r="B465" s="81" t="s">
        <v>663</v>
      </c>
      <c r="C465" s="82" t="s">
        <v>935</v>
      </c>
      <c r="D465" s="82" t="s">
        <v>342</v>
      </c>
      <c r="E465" s="82" t="s">
        <v>343</v>
      </c>
      <c r="F465" s="82" t="s">
        <v>344</v>
      </c>
      <c r="G465" s="82" t="s">
        <v>345</v>
      </c>
      <c r="H465" s="82" t="s">
        <v>349</v>
      </c>
      <c r="I465" s="82" t="s">
        <v>347</v>
      </c>
      <c r="J465" s="82" t="s">
        <v>317</v>
      </c>
      <c r="K465" s="82" t="s">
        <v>385</v>
      </c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3" t="s">
        <v>670</v>
      </c>
      <c r="AC465" s="83" t="s">
        <v>672</v>
      </c>
    </row>
    <row r="466" spans="1:29" ht="15" customHeight="1">
      <c r="A466" s="81">
        <v>465</v>
      </c>
      <c r="B466" s="81" t="s">
        <v>663</v>
      </c>
      <c r="C466" s="82" t="s">
        <v>936</v>
      </c>
      <c r="D466" s="82" t="s">
        <v>342</v>
      </c>
      <c r="E466" s="82" t="s">
        <v>343</v>
      </c>
      <c r="F466" s="82" t="s">
        <v>344</v>
      </c>
      <c r="G466" s="82" t="s">
        <v>345</v>
      </c>
      <c r="H466" s="82" t="s">
        <v>349</v>
      </c>
      <c r="I466" s="82" t="s">
        <v>347</v>
      </c>
      <c r="J466" s="82" t="s">
        <v>317</v>
      </c>
      <c r="K466" s="82" t="s">
        <v>318</v>
      </c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3" t="s">
        <v>670</v>
      </c>
      <c r="AC466" s="83" t="s">
        <v>672</v>
      </c>
    </row>
    <row r="467" spans="1:29" ht="15" customHeight="1">
      <c r="A467" s="81">
        <v>466</v>
      </c>
      <c r="B467" s="81" t="s">
        <v>663</v>
      </c>
      <c r="C467" s="82" t="s">
        <v>937</v>
      </c>
      <c r="D467" s="82" t="s">
        <v>342</v>
      </c>
      <c r="E467" s="82" t="s">
        <v>343</v>
      </c>
      <c r="F467" s="82" t="s">
        <v>344</v>
      </c>
      <c r="G467" s="82" t="s">
        <v>345</v>
      </c>
      <c r="H467" s="82" t="s">
        <v>349</v>
      </c>
      <c r="I467" s="82" t="s">
        <v>347</v>
      </c>
      <c r="J467" s="82" t="s">
        <v>317</v>
      </c>
      <c r="K467" s="82" t="s">
        <v>318</v>
      </c>
      <c r="L467" s="82" t="s">
        <v>385</v>
      </c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3" t="s">
        <v>670</v>
      </c>
      <c r="AC467" s="83" t="s">
        <v>672</v>
      </c>
    </row>
    <row r="468" spans="1:29" ht="15" customHeight="1">
      <c r="A468" s="81">
        <v>467</v>
      </c>
      <c r="B468" s="81" t="s">
        <v>663</v>
      </c>
      <c r="C468" s="82" t="s">
        <v>938</v>
      </c>
      <c r="D468" s="82" t="s">
        <v>342</v>
      </c>
      <c r="E468" s="82" t="s">
        <v>343</v>
      </c>
      <c r="F468" s="82" t="s">
        <v>344</v>
      </c>
      <c r="G468" s="82" t="s">
        <v>345</v>
      </c>
      <c r="H468" s="82" t="s">
        <v>349</v>
      </c>
      <c r="I468" s="82" t="s">
        <v>347</v>
      </c>
      <c r="J468" s="82" t="s">
        <v>317</v>
      </c>
      <c r="K468" s="82" t="s">
        <v>318</v>
      </c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3" t="s">
        <v>670</v>
      </c>
      <c r="AC468" s="83" t="s">
        <v>672</v>
      </c>
    </row>
    <row r="469" spans="1:29" ht="15" customHeight="1">
      <c r="A469" s="81">
        <v>468</v>
      </c>
      <c r="B469" s="81" t="s">
        <v>663</v>
      </c>
      <c r="C469" s="82" t="s">
        <v>939</v>
      </c>
      <c r="D469" s="82" t="s">
        <v>342</v>
      </c>
      <c r="E469" s="82" t="s">
        <v>343</v>
      </c>
      <c r="F469" s="82" t="s">
        <v>344</v>
      </c>
      <c r="G469" s="82" t="s">
        <v>345</v>
      </c>
      <c r="H469" s="82" t="s">
        <v>349</v>
      </c>
      <c r="I469" s="82" t="s">
        <v>347</v>
      </c>
      <c r="J469" s="82" t="s">
        <v>317</v>
      </c>
      <c r="K469" s="82" t="s">
        <v>318</v>
      </c>
      <c r="L469" s="82" t="s">
        <v>385</v>
      </c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3" t="s">
        <v>670</v>
      </c>
      <c r="AC469" s="83" t="s">
        <v>672</v>
      </c>
    </row>
    <row r="470" spans="1:29" ht="15" customHeight="1">
      <c r="A470" s="81">
        <v>469</v>
      </c>
      <c r="B470" s="81" t="s">
        <v>663</v>
      </c>
      <c r="C470" s="82" t="s">
        <v>940</v>
      </c>
      <c r="D470" s="82" t="s">
        <v>342</v>
      </c>
      <c r="E470" s="82" t="s">
        <v>343</v>
      </c>
      <c r="F470" s="82" t="s">
        <v>344</v>
      </c>
      <c r="G470" s="82" t="s">
        <v>345</v>
      </c>
      <c r="H470" s="82" t="s">
        <v>349</v>
      </c>
      <c r="I470" s="82" t="s">
        <v>347</v>
      </c>
      <c r="J470" s="82" t="s">
        <v>317</v>
      </c>
      <c r="K470" s="82" t="s">
        <v>318</v>
      </c>
      <c r="L470" s="82" t="s">
        <v>319</v>
      </c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3" t="s">
        <v>670</v>
      </c>
      <c r="AC470" s="83" t="s">
        <v>672</v>
      </c>
    </row>
    <row r="471" spans="1:29" ht="15" customHeight="1">
      <c r="A471" s="81">
        <v>470</v>
      </c>
      <c r="B471" s="81" t="s">
        <v>663</v>
      </c>
      <c r="C471" s="82" t="s">
        <v>941</v>
      </c>
      <c r="D471" s="82" t="s">
        <v>342</v>
      </c>
      <c r="E471" s="82" t="s">
        <v>343</v>
      </c>
      <c r="F471" s="82" t="s">
        <v>344</v>
      </c>
      <c r="G471" s="82" t="s">
        <v>345</v>
      </c>
      <c r="H471" s="82" t="s">
        <v>349</v>
      </c>
      <c r="I471" s="82" t="s">
        <v>347</v>
      </c>
      <c r="J471" s="82" t="s">
        <v>317</v>
      </c>
      <c r="K471" s="82" t="s">
        <v>318</v>
      </c>
      <c r="L471" s="82" t="s">
        <v>319</v>
      </c>
      <c r="M471" s="82" t="s">
        <v>385</v>
      </c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3" t="s">
        <v>670</v>
      </c>
      <c r="AC471" s="83" t="s">
        <v>672</v>
      </c>
    </row>
    <row r="472" spans="1:29" ht="15" customHeight="1">
      <c r="A472" s="81">
        <v>471</v>
      </c>
      <c r="B472" s="81" t="s">
        <v>663</v>
      </c>
      <c r="C472" s="82" t="s">
        <v>942</v>
      </c>
      <c r="D472" s="82" t="s">
        <v>342</v>
      </c>
      <c r="E472" s="82" t="s">
        <v>343</v>
      </c>
      <c r="F472" s="82" t="s">
        <v>344</v>
      </c>
      <c r="G472" s="82" t="s">
        <v>345</v>
      </c>
      <c r="H472" s="82" t="s">
        <v>349</v>
      </c>
      <c r="I472" s="82" t="s">
        <v>347</v>
      </c>
      <c r="J472" s="82" t="s">
        <v>317</v>
      </c>
      <c r="K472" s="82" t="s">
        <v>318</v>
      </c>
      <c r="L472" s="82" t="s">
        <v>319</v>
      </c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3" t="s">
        <v>670</v>
      </c>
      <c r="AC472" s="83" t="s">
        <v>672</v>
      </c>
    </row>
    <row r="473" spans="1:29" ht="15" customHeight="1">
      <c r="A473" s="81">
        <v>472</v>
      </c>
      <c r="B473" s="81" t="s">
        <v>663</v>
      </c>
      <c r="C473" s="82" t="s">
        <v>943</v>
      </c>
      <c r="D473" s="82" t="s">
        <v>342</v>
      </c>
      <c r="E473" s="82" t="s">
        <v>343</v>
      </c>
      <c r="F473" s="82" t="s">
        <v>344</v>
      </c>
      <c r="G473" s="82" t="s">
        <v>345</v>
      </c>
      <c r="H473" s="82" t="s">
        <v>349</v>
      </c>
      <c r="I473" s="82" t="s">
        <v>347</v>
      </c>
      <c r="J473" s="82" t="s">
        <v>317</v>
      </c>
      <c r="K473" s="82" t="s">
        <v>318</v>
      </c>
      <c r="L473" s="82" t="s">
        <v>319</v>
      </c>
      <c r="M473" s="82" t="s">
        <v>385</v>
      </c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3" t="s">
        <v>670</v>
      </c>
      <c r="AC473" s="83" t="s">
        <v>672</v>
      </c>
    </row>
    <row r="474" spans="1:29" ht="15" customHeight="1">
      <c r="A474" s="81">
        <v>473</v>
      </c>
      <c r="B474" s="81" t="s">
        <v>663</v>
      </c>
      <c r="C474" s="82" t="s">
        <v>944</v>
      </c>
      <c r="D474" s="82" t="s">
        <v>342</v>
      </c>
      <c r="E474" s="82" t="s">
        <v>343</v>
      </c>
      <c r="F474" s="82" t="s">
        <v>344</v>
      </c>
      <c r="G474" s="82" t="s">
        <v>345</v>
      </c>
      <c r="H474" s="82" t="s">
        <v>349</v>
      </c>
      <c r="I474" s="82" t="s">
        <v>347</v>
      </c>
      <c r="J474" s="82" t="s">
        <v>317</v>
      </c>
      <c r="K474" s="82" t="s">
        <v>318</v>
      </c>
      <c r="L474" s="82" t="s">
        <v>319</v>
      </c>
      <c r="M474" s="82" t="s">
        <v>320</v>
      </c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3" t="s">
        <v>670</v>
      </c>
      <c r="AC474" s="83" t="s">
        <v>672</v>
      </c>
    </row>
    <row r="475" spans="1:29" ht="15" customHeight="1">
      <c r="A475" s="81">
        <v>474</v>
      </c>
      <c r="B475" s="81" t="s">
        <v>663</v>
      </c>
      <c r="C475" s="82" t="s">
        <v>945</v>
      </c>
      <c r="D475" s="82" t="s">
        <v>342</v>
      </c>
      <c r="E475" s="82" t="s">
        <v>343</v>
      </c>
      <c r="F475" s="82" t="s">
        <v>344</v>
      </c>
      <c r="G475" s="82" t="s">
        <v>345</v>
      </c>
      <c r="H475" s="82" t="s">
        <v>349</v>
      </c>
      <c r="I475" s="82" t="s">
        <v>347</v>
      </c>
      <c r="J475" s="82" t="s">
        <v>317</v>
      </c>
      <c r="K475" s="82" t="s">
        <v>318</v>
      </c>
      <c r="L475" s="82" t="s">
        <v>319</v>
      </c>
      <c r="M475" s="82" t="s">
        <v>320</v>
      </c>
      <c r="N475" s="82" t="s">
        <v>385</v>
      </c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3" t="s">
        <v>670</v>
      </c>
      <c r="AC475" s="83" t="s">
        <v>672</v>
      </c>
    </row>
    <row r="476" spans="1:29" ht="15" customHeight="1">
      <c r="A476" s="81">
        <v>475</v>
      </c>
      <c r="B476" s="81" t="s">
        <v>663</v>
      </c>
      <c r="C476" s="82" t="s">
        <v>946</v>
      </c>
      <c r="D476" s="82" t="s">
        <v>342</v>
      </c>
      <c r="E476" s="82" t="s">
        <v>343</v>
      </c>
      <c r="F476" s="82" t="s">
        <v>344</v>
      </c>
      <c r="G476" s="82" t="s">
        <v>345</v>
      </c>
      <c r="H476" s="82" t="s">
        <v>349</v>
      </c>
      <c r="I476" s="82" t="s">
        <v>347</v>
      </c>
      <c r="J476" s="82" t="s">
        <v>317</v>
      </c>
      <c r="K476" s="82" t="s">
        <v>318</v>
      </c>
      <c r="L476" s="82" t="s">
        <v>319</v>
      </c>
      <c r="M476" s="82" t="s">
        <v>320</v>
      </c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3" t="s">
        <v>670</v>
      </c>
      <c r="AC476" s="83" t="s">
        <v>672</v>
      </c>
    </row>
    <row r="477" spans="1:29" ht="15" customHeight="1">
      <c r="A477" s="81">
        <v>476</v>
      </c>
      <c r="B477" s="81" t="s">
        <v>663</v>
      </c>
      <c r="C477" s="82" t="s">
        <v>947</v>
      </c>
      <c r="D477" s="82" t="s">
        <v>342</v>
      </c>
      <c r="E477" s="82" t="s">
        <v>343</v>
      </c>
      <c r="F477" s="82" t="s">
        <v>344</v>
      </c>
      <c r="G477" s="82" t="s">
        <v>345</v>
      </c>
      <c r="H477" s="82" t="s">
        <v>349</v>
      </c>
      <c r="I477" s="82" t="s">
        <v>347</v>
      </c>
      <c r="J477" s="82" t="s">
        <v>317</v>
      </c>
      <c r="K477" s="82" t="s">
        <v>318</v>
      </c>
      <c r="L477" s="82" t="s">
        <v>319</v>
      </c>
      <c r="M477" s="82" t="s">
        <v>320</v>
      </c>
      <c r="N477" s="82" t="s">
        <v>385</v>
      </c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3" t="s">
        <v>670</v>
      </c>
      <c r="AC477" s="83" t="s">
        <v>672</v>
      </c>
    </row>
    <row r="478" spans="1:29" ht="15" customHeight="1">
      <c r="A478" s="81">
        <v>477</v>
      </c>
      <c r="B478" s="81" t="s">
        <v>663</v>
      </c>
      <c r="C478" s="82" t="s">
        <v>948</v>
      </c>
      <c r="D478" s="82" t="s">
        <v>342</v>
      </c>
      <c r="E478" s="82" t="s">
        <v>343</v>
      </c>
      <c r="F478" s="82" t="s">
        <v>344</v>
      </c>
      <c r="G478" s="82" t="s">
        <v>345</v>
      </c>
      <c r="H478" s="82" t="s">
        <v>349</v>
      </c>
      <c r="I478" s="82" t="s">
        <v>347</v>
      </c>
      <c r="J478" s="82" t="s">
        <v>317</v>
      </c>
      <c r="K478" s="82" t="s">
        <v>318</v>
      </c>
      <c r="L478" s="82" t="s">
        <v>319</v>
      </c>
      <c r="M478" s="82" t="s">
        <v>320</v>
      </c>
      <c r="N478" s="82" t="s">
        <v>321</v>
      </c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3" t="s">
        <v>670</v>
      </c>
      <c r="AC478" s="83" t="s">
        <v>672</v>
      </c>
    </row>
    <row r="479" spans="1:29" ht="15" customHeight="1">
      <c r="A479" s="81">
        <v>478</v>
      </c>
      <c r="B479" s="81" t="s">
        <v>663</v>
      </c>
      <c r="C479" s="82" t="s">
        <v>949</v>
      </c>
      <c r="D479" s="82" t="s">
        <v>342</v>
      </c>
      <c r="E479" s="82" t="s">
        <v>343</v>
      </c>
      <c r="F479" s="82" t="s">
        <v>344</v>
      </c>
      <c r="G479" s="82" t="s">
        <v>345</v>
      </c>
      <c r="H479" s="82" t="s">
        <v>349</v>
      </c>
      <c r="I479" s="82" t="s">
        <v>347</v>
      </c>
      <c r="J479" s="82" t="s">
        <v>317</v>
      </c>
      <c r="K479" s="82" t="s">
        <v>318</v>
      </c>
      <c r="L479" s="82" t="s">
        <v>319</v>
      </c>
      <c r="M479" s="82" t="s">
        <v>320</v>
      </c>
      <c r="N479" s="82" t="s">
        <v>321</v>
      </c>
      <c r="O479" s="82" t="s">
        <v>385</v>
      </c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3" t="s">
        <v>670</v>
      </c>
      <c r="AC479" s="83" t="s">
        <v>672</v>
      </c>
    </row>
    <row r="480" spans="1:29" ht="15" customHeight="1">
      <c r="A480" s="81">
        <v>479</v>
      </c>
      <c r="B480" s="81" t="s">
        <v>663</v>
      </c>
      <c r="C480" s="82" t="s">
        <v>950</v>
      </c>
      <c r="D480" s="82" t="s">
        <v>342</v>
      </c>
      <c r="E480" s="82" t="s">
        <v>343</v>
      </c>
      <c r="F480" s="82" t="s">
        <v>344</v>
      </c>
      <c r="G480" s="82" t="s">
        <v>345</v>
      </c>
      <c r="H480" s="82" t="s">
        <v>349</v>
      </c>
      <c r="I480" s="82" t="s">
        <v>347</v>
      </c>
      <c r="J480" s="82" t="s">
        <v>317</v>
      </c>
      <c r="K480" s="82" t="s">
        <v>318</v>
      </c>
      <c r="L480" s="82" t="s">
        <v>319</v>
      </c>
      <c r="M480" s="82" t="s">
        <v>320</v>
      </c>
      <c r="N480" s="82" t="s">
        <v>321</v>
      </c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3" t="s">
        <v>670</v>
      </c>
      <c r="AC480" s="83" t="s">
        <v>672</v>
      </c>
    </row>
    <row r="481" spans="1:29" ht="15" customHeight="1">
      <c r="A481" s="81">
        <v>480</v>
      </c>
      <c r="B481" s="81" t="s">
        <v>663</v>
      </c>
      <c r="C481" s="82" t="s">
        <v>951</v>
      </c>
      <c r="D481" s="82" t="s">
        <v>342</v>
      </c>
      <c r="E481" s="82" t="s">
        <v>343</v>
      </c>
      <c r="F481" s="82" t="s">
        <v>344</v>
      </c>
      <c r="G481" s="82" t="s">
        <v>345</v>
      </c>
      <c r="H481" s="82" t="s">
        <v>349</v>
      </c>
      <c r="I481" s="82" t="s">
        <v>347</v>
      </c>
      <c r="J481" s="82" t="s">
        <v>317</v>
      </c>
      <c r="K481" s="82" t="s">
        <v>318</v>
      </c>
      <c r="L481" s="82" t="s">
        <v>319</v>
      </c>
      <c r="M481" s="82" t="s">
        <v>320</v>
      </c>
      <c r="N481" s="82" t="s">
        <v>321</v>
      </c>
      <c r="O481" s="82" t="s">
        <v>385</v>
      </c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3" t="s">
        <v>670</v>
      </c>
      <c r="AC481" s="83" t="s">
        <v>672</v>
      </c>
    </row>
    <row r="482" spans="1:29" ht="15" customHeight="1">
      <c r="A482" s="81">
        <v>481</v>
      </c>
      <c r="B482" s="81" t="s">
        <v>663</v>
      </c>
      <c r="C482" s="82" t="s">
        <v>952</v>
      </c>
      <c r="D482" s="82" t="s">
        <v>342</v>
      </c>
      <c r="E482" s="82" t="s">
        <v>343</v>
      </c>
      <c r="F482" s="82" t="s">
        <v>344</v>
      </c>
      <c r="G482" s="82" t="s">
        <v>345</v>
      </c>
      <c r="H482" s="82" t="s">
        <v>349</v>
      </c>
      <c r="I482" s="82" t="s">
        <v>347</v>
      </c>
      <c r="J482" s="82" t="s">
        <v>317</v>
      </c>
      <c r="K482" s="82" t="s">
        <v>318</v>
      </c>
      <c r="L482" s="82" t="s">
        <v>319</v>
      </c>
      <c r="M482" s="82" t="s">
        <v>320</v>
      </c>
      <c r="N482" s="82" t="s">
        <v>321</v>
      </c>
      <c r="O482" s="82" t="s">
        <v>322</v>
      </c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3" t="s">
        <v>670</v>
      </c>
      <c r="AC482" s="83" t="s">
        <v>672</v>
      </c>
    </row>
    <row r="483" spans="1:29" ht="15" customHeight="1">
      <c r="A483" s="81">
        <v>482</v>
      </c>
      <c r="B483" s="81" t="s">
        <v>663</v>
      </c>
      <c r="C483" s="82" t="s">
        <v>953</v>
      </c>
      <c r="D483" s="82" t="s">
        <v>342</v>
      </c>
      <c r="E483" s="82" t="s">
        <v>343</v>
      </c>
      <c r="F483" s="82" t="s">
        <v>344</v>
      </c>
      <c r="G483" s="82" t="s">
        <v>345</v>
      </c>
      <c r="H483" s="82" t="s">
        <v>349</v>
      </c>
      <c r="I483" s="82" t="s">
        <v>347</v>
      </c>
      <c r="J483" s="82" t="s">
        <v>317</v>
      </c>
      <c r="K483" s="82" t="s">
        <v>318</v>
      </c>
      <c r="L483" s="82" t="s">
        <v>319</v>
      </c>
      <c r="M483" s="82" t="s">
        <v>320</v>
      </c>
      <c r="N483" s="82" t="s">
        <v>321</v>
      </c>
      <c r="O483" s="82" t="s">
        <v>322</v>
      </c>
      <c r="P483" s="82" t="s">
        <v>385</v>
      </c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3" t="s">
        <v>670</v>
      </c>
      <c r="AC483" s="83" t="s">
        <v>672</v>
      </c>
    </row>
    <row r="484" spans="1:29" ht="15" customHeight="1">
      <c r="A484" s="81">
        <v>483</v>
      </c>
      <c r="B484" s="81" t="s">
        <v>663</v>
      </c>
      <c r="C484" s="82" t="s">
        <v>954</v>
      </c>
      <c r="D484" s="82" t="s">
        <v>342</v>
      </c>
      <c r="E484" s="82" t="s">
        <v>343</v>
      </c>
      <c r="F484" s="82" t="s">
        <v>344</v>
      </c>
      <c r="G484" s="82" t="s">
        <v>345</v>
      </c>
      <c r="H484" s="82" t="s">
        <v>349</v>
      </c>
      <c r="I484" s="82" t="s">
        <v>347</v>
      </c>
      <c r="J484" s="82" t="s">
        <v>317</v>
      </c>
      <c r="K484" s="82" t="s">
        <v>318</v>
      </c>
      <c r="L484" s="82" t="s">
        <v>319</v>
      </c>
      <c r="M484" s="82" t="s">
        <v>320</v>
      </c>
      <c r="N484" s="82" t="s">
        <v>321</v>
      </c>
      <c r="O484" s="82" t="s">
        <v>322</v>
      </c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3" t="s">
        <v>670</v>
      </c>
      <c r="AC484" s="83" t="s">
        <v>672</v>
      </c>
    </row>
    <row r="485" spans="1:29" ht="15" customHeight="1">
      <c r="A485" s="81">
        <v>484</v>
      </c>
      <c r="B485" s="81" t="s">
        <v>663</v>
      </c>
      <c r="C485" s="82" t="s">
        <v>955</v>
      </c>
      <c r="D485" s="82" t="s">
        <v>342</v>
      </c>
      <c r="E485" s="82" t="s">
        <v>343</v>
      </c>
      <c r="F485" s="82" t="s">
        <v>344</v>
      </c>
      <c r="G485" s="82" t="s">
        <v>345</v>
      </c>
      <c r="H485" s="82" t="s">
        <v>349</v>
      </c>
      <c r="I485" s="82" t="s">
        <v>347</v>
      </c>
      <c r="J485" s="82" t="s">
        <v>317</v>
      </c>
      <c r="K485" s="82" t="s">
        <v>318</v>
      </c>
      <c r="L485" s="82" t="s">
        <v>319</v>
      </c>
      <c r="M485" s="82" t="s">
        <v>320</v>
      </c>
      <c r="N485" s="82" t="s">
        <v>321</v>
      </c>
      <c r="O485" s="82" t="s">
        <v>322</v>
      </c>
      <c r="P485" s="82" t="s">
        <v>385</v>
      </c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3" t="s">
        <v>670</v>
      </c>
      <c r="AC485" s="83" t="s">
        <v>672</v>
      </c>
    </row>
    <row r="486" spans="1:29" ht="15" customHeight="1">
      <c r="A486" s="81">
        <v>485</v>
      </c>
      <c r="B486" s="81" t="s">
        <v>663</v>
      </c>
      <c r="C486" s="82" t="s">
        <v>956</v>
      </c>
      <c r="D486" s="82" t="s">
        <v>342</v>
      </c>
      <c r="E486" s="82" t="s">
        <v>343</v>
      </c>
      <c r="F486" s="82" t="s">
        <v>344</v>
      </c>
      <c r="G486" s="82" t="s">
        <v>345</v>
      </c>
      <c r="H486" s="82" t="s">
        <v>349</v>
      </c>
      <c r="I486" s="82" t="s">
        <v>347</v>
      </c>
      <c r="J486" s="82" t="s">
        <v>317</v>
      </c>
      <c r="K486" s="82" t="s">
        <v>318</v>
      </c>
      <c r="L486" s="82" t="s">
        <v>319</v>
      </c>
      <c r="M486" s="82" t="s">
        <v>320</v>
      </c>
      <c r="N486" s="82" t="s">
        <v>321</v>
      </c>
      <c r="O486" s="82" t="s">
        <v>322</v>
      </c>
      <c r="P486" s="82" t="s">
        <v>323</v>
      </c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3" t="s">
        <v>670</v>
      </c>
      <c r="AC486" s="83" t="s">
        <v>672</v>
      </c>
    </row>
    <row r="487" spans="1:29" ht="15" customHeight="1">
      <c r="A487" s="81">
        <v>486</v>
      </c>
      <c r="B487" s="81" t="s">
        <v>663</v>
      </c>
      <c r="C487" s="82" t="s">
        <v>957</v>
      </c>
      <c r="D487" s="82" t="s">
        <v>342</v>
      </c>
      <c r="E487" s="82" t="s">
        <v>343</v>
      </c>
      <c r="F487" s="82" t="s">
        <v>344</v>
      </c>
      <c r="G487" s="82" t="s">
        <v>345</v>
      </c>
      <c r="H487" s="82" t="s">
        <v>349</v>
      </c>
      <c r="I487" s="82" t="s">
        <v>347</v>
      </c>
      <c r="J487" s="82" t="s">
        <v>317</v>
      </c>
      <c r="K487" s="82" t="s">
        <v>318</v>
      </c>
      <c r="L487" s="82" t="s">
        <v>319</v>
      </c>
      <c r="M487" s="82" t="s">
        <v>320</v>
      </c>
      <c r="N487" s="82" t="s">
        <v>321</v>
      </c>
      <c r="O487" s="82" t="s">
        <v>322</v>
      </c>
      <c r="P487" s="82" t="s">
        <v>323</v>
      </c>
      <c r="Q487" s="82" t="s">
        <v>385</v>
      </c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3" t="s">
        <v>670</v>
      </c>
      <c r="AC487" s="83" t="s">
        <v>672</v>
      </c>
    </row>
    <row r="488" spans="1:29" ht="15" customHeight="1">
      <c r="A488" s="81">
        <v>487</v>
      </c>
      <c r="B488" s="81" t="s">
        <v>663</v>
      </c>
      <c r="C488" s="82" t="s">
        <v>958</v>
      </c>
      <c r="D488" s="82" t="s">
        <v>342</v>
      </c>
      <c r="E488" s="82" t="s">
        <v>343</v>
      </c>
      <c r="F488" s="82" t="s">
        <v>344</v>
      </c>
      <c r="G488" s="82" t="s">
        <v>345</v>
      </c>
      <c r="H488" s="82" t="s">
        <v>349</v>
      </c>
      <c r="I488" s="82" t="s">
        <v>347</v>
      </c>
      <c r="J488" s="82" t="s">
        <v>317</v>
      </c>
      <c r="K488" s="82" t="s">
        <v>318</v>
      </c>
      <c r="L488" s="82" t="s">
        <v>319</v>
      </c>
      <c r="M488" s="82" t="s">
        <v>320</v>
      </c>
      <c r="N488" s="82" t="s">
        <v>321</v>
      </c>
      <c r="O488" s="82" t="s">
        <v>322</v>
      </c>
      <c r="P488" s="82" t="s">
        <v>323</v>
      </c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3" t="s">
        <v>670</v>
      </c>
      <c r="AC488" s="83" t="s">
        <v>672</v>
      </c>
    </row>
    <row r="489" spans="1:29" ht="15" customHeight="1">
      <c r="A489" s="81">
        <v>488</v>
      </c>
      <c r="B489" s="81" t="s">
        <v>663</v>
      </c>
      <c r="C489" s="82" t="s">
        <v>959</v>
      </c>
      <c r="D489" s="82" t="s">
        <v>342</v>
      </c>
      <c r="E489" s="82" t="s">
        <v>343</v>
      </c>
      <c r="F489" s="82" t="s">
        <v>344</v>
      </c>
      <c r="G489" s="82" t="s">
        <v>345</v>
      </c>
      <c r="H489" s="82" t="s">
        <v>349</v>
      </c>
      <c r="I489" s="82" t="s">
        <v>347</v>
      </c>
      <c r="J489" s="82" t="s">
        <v>317</v>
      </c>
      <c r="K489" s="82" t="s">
        <v>318</v>
      </c>
      <c r="L489" s="82" t="s">
        <v>319</v>
      </c>
      <c r="M489" s="82" t="s">
        <v>320</v>
      </c>
      <c r="N489" s="82" t="s">
        <v>321</v>
      </c>
      <c r="O489" s="82" t="s">
        <v>322</v>
      </c>
      <c r="P489" s="82" t="s">
        <v>323</v>
      </c>
      <c r="Q489" s="82" t="s">
        <v>385</v>
      </c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3" t="s">
        <v>670</v>
      </c>
      <c r="AC489" s="83" t="s">
        <v>672</v>
      </c>
    </row>
    <row r="490" spans="1:29" ht="15" customHeight="1">
      <c r="A490" s="81">
        <v>489</v>
      </c>
      <c r="B490" s="81" t="s">
        <v>663</v>
      </c>
      <c r="C490" s="82" t="s">
        <v>960</v>
      </c>
      <c r="D490" s="82" t="s">
        <v>342</v>
      </c>
      <c r="E490" s="82" t="s">
        <v>343</v>
      </c>
      <c r="F490" s="82" t="s">
        <v>344</v>
      </c>
      <c r="G490" s="82" t="s">
        <v>345</v>
      </c>
      <c r="H490" s="82" t="s">
        <v>349</v>
      </c>
      <c r="I490" s="82" t="s">
        <v>347</v>
      </c>
      <c r="J490" s="82" t="s">
        <v>317</v>
      </c>
      <c r="K490" s="82" t="s">
        <v>318</v>
      </c>
      <c r="L490" s="82" t="s">
        <v>319</v>
      </c>
      <c r="M490" s="82" t="s">
        <v>320</v>
      </c>
      <c r="N490" s="82" t="s">
        <v>321</v>
      </c>
      <c r="O490" s="82" t="s">
        <v>322</v>
      </c>
      <c r="P490" s="82" t="s">
        <v>323</v>
      </c>
      <c r="Q490" s="82" t="s">
        <v>324</v>
      </c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3" t="s">
        <v>670</v>
      </c>
      <c r="AC490" s="83" t="s">
        <v>672</v>
      </c>
    </row>
    <row r="491" spans="1:29" ht="15" customHeight="1">
      <c r="A491" s="81">
        <v>490</v>
      </c>
      <c r="B491" s="81" t="s">
        <v>663</v>
      </c>
      <c r="C491" s="82" t="s">
        <v>961</v>
      </c>
      <c r="D491" s="82" t="s">
        <v>342</v>
      </c>
      <c r="E491" s="82" t="s">
        <v>343</v>
      </c>
      <c r="F491" s="82" t="s">
        <v>344</v>
      </c>
      <c r="G491" s="82" t="s">
        <v>345</v>
      </c>
      <c r="H491" s="82" t="s">
        <v>349</v>
      </c>
      <c r="I491" s="82" t="s">
        <v>347</v>
      </c>
      <c r="J491" s="82" t="s">
        <v>317</v>
      </c>
      <c r="K491" s="82" t="s">
        <v>318</v>
      </c>
      <c r="L491" s="82" t="s">
        <v>319</v>
      </c>
      <c r="M491" s="82" t="s">
        <v>320</v>
      </c>
      <c r="N491" s="82" t="s">
        <v>321</v>
      </c>
      <c r="O491" s="82" t="s">
        <v>322</v>
      </c>
      <c r="P491" s="82" t="s">
        <v>323</v>
      </c>
      <c r="Q491" s="82" t="s">
        <v>324</v>
      </c>
      <c r="R491" s="82" t="s">
        <v>385</v>
      </c>
      <c r="S491" s="82"/>
      <c r="T491" s="82"/>
      <c r="U491" s="82"/>
      <c r="V491" s="82"/>
      <c r="W491" s="82"/>
      <c r="X491" s="82"/>
      <c r="Y491" s="82"/>
      <c r="Z491" s="82"/>
      <c r="AA491" s="82"/>
      <c r="AB491" s="83" t="s">
        <v>670</v>
      </c>
      <c r="AC491" s="83" t="s">
        <v>672</v>
      </c>
    </row>
    <row r="492" spans="1:29" ht="15" customHeight="1">
      <c r="A492" s="81">
        <v>491</v>
      </c>
      <c r="B492" s="81" t="s">
        <v>663</v>
      </c>
      <c r="C492" s="82" t="s">
        <v>962</v>
      </c>
      <c r="D492" s="82" t="s">
        <v>342</v>
      </c>
      <c r="E492" s="82" t="s">
        <v>343</v>
      </c>
      <c r="F492" s="82" t="s">
        <v>344</v>
      </c>
      <c r="G492" s="82" t="s">
        <v>345</v>
      </c>
      <c r="H492" s="82" t="s">
        <v>349</v>
      </c>
      <c r="I492" s="82" t="s">
        <v>347</v>
      </c>
      <c r="J492" s="82" t="s">
        <v>317</v>
      </c>
      <c r="K492" s="82" t="s">
        <v>318</v>
      </c>
      <c r="L492" s="82" t="s">
        <v>319</v>
      </c>
      <c r="M492" s="82" t="s">
        <v>320</v>
      </c>
      <c r="N492" s="82" t="s">
        <v>321</v>
      </c>
      <c r="O492" s="82" t="s">
        <v>322</v>
      </c>
      <c r="P492" s="82" t="s">
        <v>323</v>
      </c>
      <c r="Q492" s="82" t="s">
        <v>324</v>
      </c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3" t="s">
        <v>670</v>
      </c>
      <c r="AC492" s="83" t="s">
        <v>672</v>
      </c>
    </row>
    <row r="493" spans="1:29" ht="15" customHeight="1">
      <c r="A493" s="81">
        <v>492</v>
      </c>
      <c r="B493" s="81" t="s">
        <v>663</v>
      </c>
      <c r="C493" s="82" t="s">
        <v>963</v>
      </c>
      <c r="D493" s="82" t="s">
        <v>342</v>
      </c>
      <c r="E493" s="82" t="s">
        <v>343</v>
      </c>
      <c r="F493" s="82" t="s">
        <v>344</v>
      </c>
      <c r="G493" s="82" t="s">
        <v>345</v>
      </c>
      <c r="H493" s="82" t="s">
        <v>349</v>
      </c>
      <c r="I493" s="82" t="s">
        <v>347</v>
      </c>
      <c r="J493" s="82" t="s">
        <v>317</v>
      </c>
      <c r="K493" s="82" t="s">
        <v>318</v>
      </c>
      <c r="L493" s="82" t="s">
        <v>319</v>
      </c>
      <c r="M493" s="82" t="s">
        <v>320</v>
      </c>
      <c r="N493" s="82" t="s">
        <v>321</v>
      </c>
      <c r="O493" s="82" t="s">
        <v>322</v>
      </c>
      <c r="P493" s="82" t="s">
        <v>323</v>
      </c>
      <c r="Q493" s="82" t="s">
        <v>324</v>
      </c>
      <c r="R493" s="82" t="s">
        <v>385</v>
      </c>
      <c r="S493" s="82"/>
      <c r="T493" s="82"/>
      <c r="U493" s="82"/>
      <c r="V493" s="82"/>
      <c r="W493" s="82"/>
      <c r="X493" s="82"/>
      <c r="Y493" s="82"/>
      <c r="Z493" s="82"/>
      <c r="AA493" s="82"/>
      <c r="AB493" s="83" t="s">
        <v>670</v>
      </c>
      <c r="AC493" s="83" t="s">
        <v>672</v>
      </c>
    </row>
    <row r="494" spans="1:29" ht="15" customHeight="1">
      <c r="A494" s="81">
        <v>493</v>
      </c>
      <c r="B494" s="81" t="s">
        <v>663</v>
      </c>
      <c r="C494" s="82" t="s">
        <v>964</v>
      </c>
      <c r="D494" s="82" t="s">
        <v>342</v>
      </c>
      <c r="E494" s="82" t="s">
        <v>343</v>
      </c>
      <c r="F494" s="82" t="s">
        <v>344</v>
      </c>
      <c r="G494" s="82" t="s">
        <v>345</v>
      </c>
      <c r="H494" s="82" t="s">
        <v>349</v>
      </c>
      <c r="I494" s="82" t="s">
        <v>347</v>
      </c>
      <c r="J494" s="82" t="s">
        <v>317</v>
      </c>
      <c r="K494" s="82" t="s">
        <v>318</v>
      </c>
      <c r="L494" s="82" t="s">
        <v>319</v>
      </c>
      <c r="M494" s="82" t="s">
        <v>320</v>
      </c>
      <c r="N494" s="82" t="s">
        <v>321</v>
      </c>
      <c r="O494" s="82" t="s">
        <v>322</v>
      </c>
      <c r="P494" s="82" t="s">
        <v>323</v>
      </c>
      <c r="Q494" s="82" t="s">
        <v>324</v>
      </c>
      <c r="R494" s="82" t="s">
        <v>325</v>
      </c>
      <c r="S494" s="82"/>
      <c r="T494" s="82"/>
      <c r="U494" s="82"/>
      <c r="V494" s="82"/>
      <c r="W494" s="82"/>
      <c r="X494" s="82"/>
      <c r="Y494" s="82"/>
      <c r="Z494" s="82"/>
      <c r="AA494" s="82"/>
      <c r="AB494" s="83" t="s">
        <v>670</v>
      </c>
      <c r="AC494" s="83" t="s">
        <v>672</v>
      </c>
    </row>
    <row r="495" spans="1:29" ht="15" customHeight="1">
      <c r="A495" s="81">
        <v>494</v>
      </c>
      <c r="B495" s="81" t="s">
        <v>663</v>
      </c>
      <c r="C495" s="82" t="s">
        <v>965</v>
      </c>
      <c r="D495" s="82" t="s">
        <v>342</v>
      </c>
      <c r="E495" s="82" t="s">
        <v>343</v>
      </c>
      <c r="F495" s="82" t="s">
        <v>344</v>
      </c>
      <c r="G495" s="82" t="s">
        <v>345</v>
      </c>
      <c r="H495" s="82" t="s">
        <v>349</v>
      </c>
      <c r="I495" s="82" t="s">
        <v>347</v>
      </c>
      <c r="J495" s="82" t="s">
        <v>317</v>
      </c>
      <c r="K495" s="82" t="s">
        <v>318</v>
      </c>
      <c r="L495" s="82" t="s">
        <v>319</v>
      </c>
      <c r="M495" s="82" t="s">
        <v>320</v>
      </c>
      <c r="N495" s="82" t="s">
        <v>321</v>
      </c>
      <c r="O495" s="82" t="s">
        <v>322</v>
      </c>
      <c r="P495" s="82" t="s">
        <v>323</v>
      </c>
      <c r="Q495" s="82" t="s">
        <v>324</v>
      </c>
      <c r="R495" s="82" t="s">
        <v>325</v>
      </c>
      <c r="S495" s="82" t="s">
        <v>385</v>
      </c>
      <c r="T495" s="82"/>
      <c r="U495" s="82"/>
      <c r="V495" s="82"/>
      <c r="W495" s="82"/>
      <c r="X495" s="82"/>
      <c r="Y495" s="82"/>
      <c r="Z495" s="82"/>
      <c r="AA495" s="82"/>
      <c r="AB495" s="83" t="s">
        <v>670</v>
      </c>
      <c r="AC495" s="83" t="s">
        <v>672</v>
      </c>
    </row>
    <row r="496" spans="1:29" ht="15" customHeight="1">
      <c r="A496" s="81">
        <v>495</v>
      </c>
      <c r="B496" s="81" t="s">
        <v>663</v>
      </c>
      <c r="C496" s="82" t="s">
        <v>966</v>
      </c>
      <c r="D496" s="82" t="s">
        <v>342</v>
      </c>
      <c r="E496" s="82" t="s">
        <v>343</v>
      </c>
      <c r="F496" s="82" t="s">
        <v>344</v>
      </c>
      <c r="G496" s="82" t="s">
        <v>345</v>
      </c>
      <c r="H496" s="82" t="s">
        <v>349</v>
      </c>
      <c r="I496" s="82" t="s">
        <v>347</v>
      </c>
      <c r="J496" s="82" t="s">
        <v>317</v>
      </c>
      <c r="K496" s="82" t="s">
        <v>318</v>
      </c>
      <c r="L496" s="82" t="s">
        <v>319</v>
      </c>
      <c r="M496" s="82" t="s">
        <v>320</v>
      </c>
      <c r="N496" s="82" t="s">
        <v>321</v>
      </c>
      <c r="O496" s="82" t="s">
        <v>322</v>
      </c>
      <c r="P496" s="82" t="s">
        <v>323</v>
      </c>
      <c r="Q496" s="82" t="s">
        <v>324</v>
      </c>
      <c r="R496" s="82" t="s">
        <v>325</v>
      </c>
      <c r="S496" s="82"/>
      <c r="T496" s="82"/>
      <c r="U496" s="82"/>
      <c r="V496" s="82"/>
      <c r="W496" s="82"/>
      <c r="X496" s="82"/>
      <c r="Y496" s="82"/>
      <c r="Z496" s="82"/>
      <c r="AA496" s="82"/>
      <c r="AB496" s="83" t="s">
        <v>670</v>
      </c>
      <c r="AC496" s="83" t="s">
        <v>672</v>
      </c>
    </row>
    <row r="497" spans="1:29" ht="15" customHeight="1">
      <c r="A497" s="81">
        <v>496</v>
      </c>
      <c r="B497" s="81" t="s">
        <v>663</v>
      </c>
      <c r="C497" s="82" t="s">
        <v>967</v>
      </c>
      <c r="D497" s="82" t="s">
        <v>342</v>
      </c>
      <c r="E497" s="82" t="s">
        <v>343</v>
      </c>
      <c r="F497" s="82" t="s">
        <v>344</v>
      </c>
      <c r="G497" s="82" t="s">
        <v>345</v>
      </c>
      <c r="H497" s="82" t="s">
        <v>349</v>
      </c>
      <c r="I497" s="82" t="s">
        <v>347</v>
      </c>
      <c r="J497" s="82" t="s">
        <v>317</v>
      </c>
      <c r="K497" s="82" t="s">
        <v>318</v>
      </c>
      <c r="L497" s="82" t="s">
        <v>319</v>
      </c>
      <c r="M497" s="82" t="s">
        <v>320</v>
      </c>
      <c r="N497" s="82" t="s">
        <v>321</v>
      </c>
      <c r="O497" s="82" t="s">
        <v>322</v>
      </c>
      <c r="P497" s="82" t="s">
        <v>323</v>
      </c>
      <c r="Q497" s="82" t="s">
        <v>324</v>
      </c>
      <c r="R497" s="82" t="s">
        <v>325</v>
      </c>
      <c r="S497" s="82" t="s">
        <v>385</v>
      </c>
      <c r="T497" s="82"/>
      <c r="U497" s="82"/>
      <c r="V497" s="82"/>
      <c r="W497" s="82"/>
      <c r="X497" s="82"/>
      <c r="Y497" s="82"/>
      <c r="Z497" s="82"/>
      <c r="AA497" s="82"/>
      <c r="AB497" s="83" t="s">
        <v>670</v>
      </c>
      <c r="AC497" s="83" t="s">
        <v>672</v>
      </c>
    </row>
    <row r="498" spans="1:29" ht="15" customHeight="1">
      <c r="A498" s="81">
        <v>497</v>
      </c>
      <c r="B498" s="81" t="s">
        <v>663</v>
      </c>
      <c r="C498" s="82" t="s">
        <v>968</v>
      </c>
      <c r="D498" s="82" t="s">
        <v>342</v>
      </c>
      <c r="E498" s="82" t="s">
        <v>343</v>
      </c>
      <c r="F498" s="82" t="s">
        <v>344</v>
      </c>
      <c r="G498" s="82" t="s">
        <v>345</v>
      </c>
      <c r="H498" s="82" t="s">
        <v>349</v>
      </c>
      <c r="I498" s="82" t="s">
        <v>347</v>
      </c>
      <c r="J498" s="82" t="s">
        <v>317</v>
      </c>
      <c r="K498" s="82" t="s">
        <v>318</v>
      </c>
      <c r="L498" s="82" t="s">
        <v>319</v>
      </c>
      <c r="M498" s="82" t="s">
        <v>320</v>
      </c>
      <c r="N498" s="82" t="s">
        <v>321</v>
      </c>
      <c r="O498" s="82" t="s">
        <v>322</v>
      </c>
      <c r="P498" s="82" t="s">
        <v>323</v>
      </c>
      <c r="Q498" s="82" t="s">
        <v>324</v>
      </c>
      <c r="R498" s="82" t="s">
        <v>325</v>
      </c>
      <c r="S498" s="82" t="s">
        <v>326</v>
      </c>
      <c r="T498" s="82"/>
      <c r="U498" s="82"/>
      <c r="V498" s="82"/>
      <c r="W498" s="82"/>
      <c r="X498" s="82"/>
      <c r="Y498" s="82"/>
      <c r="Z498" s="82"/>
      <c r="AA498" s="82"/>
      <c r="AB498" s="83" t="s">
        <v>670</v>
      </c>
      <c r="AC498" s="83" t="s">
        <v>672</v>
      </c>
    </row>
    <row r="499" spans="1:29" ht="15" customHeight="1">
      <c r="A499" s="81">
        <v>498</v>
      </c>
      <c r="B499" s="81" t="s">
        <v>663</v>
      </c>
      <c r="C499" s="82" t="s">
        <v>969</v>
      </c>
      <c r="D499" s="82" t="s">
        <v>342</v>
      </c>
      <c r="E499" s="82" t="s">
        <v>343</v>
      </c>
      <c r="F499" s="82" t="s">
        <v>344</v>
      </c>
      <c r="G499" s="82" t="s">
        <v>345</v>
      </c>
      <c r="H499" s="82" t="s">
        <v>349</v>
      </c>
      <c r="I499" s="82" t="s">
        <v>347</v>
      </c>
      <c r="J499" s="82" t="s">
        <v>317</v>
      </c>
      <c r="K499" s="82" t="s">
        <v>318</v>
      </c>
      <c r="L499" s="82" t="s">
        <v>319</v>
      </c>
      <c r="M499" s="82" t="s">
        <v>320</v>
      </c>
      <c r="N499" s="82" t="s">
        <v>321</v>
      </c>
      <c r="O499" s="82" t="s">
        <v>322</v>
      </c>
      <c r="P499" s="82" t="s">
        <v>323</v>
      </c>
      <c r="Q499" s="82" t="s">
        <v>324</v>
      </c>
      <c r="R499" s="82" t="s">
        <v>325</v>
      </c>
      <c r="S499" s="82" t="s">
        <v>326</v>
      </c>
      <c r="T499" s="82" t="s">
        <v>385</v>
      </c>
      <c r="U499" s="82"/>
      <c r="V499" s="82"/>
      <c r="W499" s="82"/>
      <c r="X499" s="82"/>
      <c r="Y499" s="82"/>
      <c r="Z499" s="82"/>
      <c r="AA499" s="82"/>
      <c r="AB499" s="83" t="s">
        <v>670</v>
      </c>
      <c r="AC499" s="83" t="s">
        <v>672</v>
      </c>
    </row>
    <row r="500" spans="1:29" ht="15" customHeight="1">
      <c r="A500" s="81">
        <v>499</v>
      </c>
      <c r="B500" s="81" t="s">
        <v>663</v>
      </c>
      <c r="C500" s="82" t="s">
        <v>970</v>
      </c>
      <c r="D500" s="82" t="s">
        <v>342</v>
      </c>
      <c r="E500" s="82" t="s">
        <v>343</v>
      </c>
      <c r="F500" s="82" t="s">
        <v>344</v>
      </c>
      <c r="G500" s="82" t="s">
        <v>345</v>
      </c>
      <c r="H500" s="82" t="s">
        <v>349</v>
      </c>
      <c r="I500" s="82" t="s">
        <v>347</v>
      </c>
      <c r="J500" s="82" t="s">
        <v>317</v>
      </c>
      <c r="K500" s="82" t="s">
        <v>318</v>
      </c>
      <c r="L500" s="82" t="s">
        <v>319</v>
      </c>
      <c r="M500" s="82" t="s">
        <v>320</v>
      </c>
      <c r="N500" s="82" t="s">
        <v>321</v>
      </c>
      <c r="O500" s="82" t="s">
        <v>322</v>
      </c>
      <c r="P500" s="82" t="s">
        <v>323</v>
      </c>
      <c r="Q500" s="82" t="s">
        <v>324</v>
      </c>
      <c r="R500" s="82" t="s">
        <v>325</v>
      </c>
      <c r="S500" s="82" t="s">
        <v>326</v>
      </c>
      <c r="T500" s="82"/>
      <c r="U500" s="82"/>
      <c r="V500" s="82"/>
      <c r="W500" s="82"/>
      <c r="X500" s="82"/>
      <c r="Y500" s="82"/>
      <c r="Z500" s="82"/>
      <c r="AA500" s="82"/>
      <c r="AB500" s="83" t="s">
        <v>670</v>
      </c>
      <c r="AC500" s="83" t="s">
        <v>672</v>
      </c>
    </row>
    <row r="501" spans="1:29" ht="15" customHeight="1">
      <c r="A501" s="81">
        <v>500</v>
      </c>
      <c r="B501" s="81" t="s">
        <v>663</v>
      </c>
      <c r="C501" s="82" t="s">
        <v>971</v>
      </c>
      <c r="D501" s="82" t="s">
        <v>342</v>
      </c>
      <c r="E501" s="82" t="s">
        <v>343</v>
      </c>
      <c r="F501" s="82" t="s">
        <v>344</v>
      </c>
      <c r="G501" s="82" t="s">
        <v>345</v>
      </c>
      <c r="H501" s="82" t="s">
        <v>349</v>
      </c>
      <c r="I501" s="82" t="s">
        <v>347</v>
      </c>
      <c r="J501" s="82" t="s">
        <v>317</v>
      </c>
      <c r="K501" s="82" t="s">
        <v>318</v>
      </c>
      <c r="L501" s="82" t="s">
        <v>319</v>
      </c>
      <c r="M501" s="82" t="s">
        <v>320</v>
      </c>
      <c r="N501" s="82" t="s">
        <v>321</v>
      </c>
      <c r="O501" s="82" t="s">
        <v>322</v>
      </c>
      <c r="P501" s="82" t="s">
        <v>323</v>
      </c>
      <c r="Q501" s="82" t="s">
        <v>324</v>
      </c>
      <c r="R501" s="82" t="s">
        <v>325</v>
      </c>
      <c r="S501" s="82" t="s">
        <v>326</v>
      </c>
      <c r="T501" s="82" t="s">
        <v>385</v>
      </c>
      <c r="U501" s="82"/>
      <c r="V501" s="82"/>
      <c r="W501" s="82"/>
      <c r="X501" s="82"/>
      <c r="Y501" s="82"/>
      <c r="Z501" s="82"/>
      <c r="AA501" s="82"/>
      <c r="AB501" s="83" t="s">
        <v>670</v>
      </c>
      <c r="AC501" s="83" t="s">
        <v>672</v>
      </c>
    </row>
    <row r="502" spans="1:29" ht="15" customHeight="1">
      <c r="A502" s="81">
        <v>501</v>
      </c>
      <c r="B502" s="81" t="s">
        <v>663</v>
      </c>
      <c r="C502" s="82" t="s">
        <v>972</v>
      </c>
      <c r="D502" s="82" t="s">
        <v>342</v>
      </c>
      <c r="E502" s="82" t="s">
        <v>343</v>
      </c>
      <c r="F502" s="82" t="s">
        <v>344</v>
      </c>
      <c r="G502" s="82" t="s">
        <v>345</v>
      </c>
      <c r="H502" s="82" t="s">
        <v>349</v>
      </c>
      <c r="I502" s="82" t="s">
        <v>347</v>
      </c>
      <c r="J502" s="82" t="s">
        <v>317</v>
      </c>
      <c r="K502" s="82" t="s">
        <v>318</v>
      </c>
      <c r="L502" s="82" t="s">
        <v>319</v>
      </c>
      <c r="M502" s="82" t="s">
        <v>320</v>
      </c>
      <c r="N502" s="82" t="s">
        <v>321</v>
      </c>
      <c r="O502" s="82" t="s">
        <v>322</v>
      </c>
      <c r="P502" s="82" t="s">
        <v>323</v>
      </c>
      <c r="Q502" s="82" t="s">
        <v>324</v>
      </c>
      <c r="R502" s="82" t="s">
        <v>325</v>
      </c>
      <c r="S502" s="82" t="s">
        <v>326</v>
      </c>
      <c r="T502" s="82" t="s">
        <v>327</v>
      </c>
      <c r="U502" s="82"/>
      <c r="V502" s="82"/>
      <c r="W502" s="82"/>
      <c r="X502" s="82"/>
      <c r="Y502" s="82"/>
      <c r="Z502" s="82"/>
      <c r="AA502" s="82"/>
      <c r="AB502" s="83" t="s">
        <v>670</v>
      </c>
      <c r="AC502" s="83" t="s">
        <v>672</v>
      </c>
    </row>
    <row r="503" spans="1:29" ht="15" customHeight="1">
      <c r="A503" s="81">
        <v>502</v>
      </c>
      <c r="B503" s="81" t="s">
        <v>663</v>
      </c>
      <c r="C503" s="82" t="s">
        <v>973</v>
      </c>
      <c r="D503" s="82" t="s">
        <v>342</v>
      </c>
      <c r="E503" s="82" t="s">
        <v>343</v>
      </c>
      <c r="F503" s="82" t="s">
        <v>344</v>
      </c>
      <c r="G503" s="82" t="s">
        <v>345</v>
      </c>
      <c r="H503" s="82" t="s">
        <v>349</v>
      </c>
      <c r="I503" s="82" t="s">
        <v>347</v>
      </c>
      <c r="J503" s="82" t="s">
        <v>317</v>
      </c>
      <c r="K503" s="82" t="s">
        <v>318</v>
      </c>
      <c r="L503" s="82" t="s">
        <v>319</v>
      </c>
      <c r="M503" s="82" t="s">
        <v>320</v>
      </c>
      <c r="N503" s="82" t="s">
        <v>321</v>
      </c>
      <c r="O503" s="82" t="s">
        <v>322</v>
      </c>
      <c r="P503" s="82" t="s">
        <v>323</v>
      </c>
      <c r="Q503" s="82" t="s">
        <v>324</v>
      </c>
      <c r="R503" s="82" t="s">
        <v>325</v>
      </c>
      <c r="S503" s="82" t="s">
        <v>326</v>
      </c>
      <c r="T503" s="82" t="s">
        <v>327</v>
      </c>
      <c r="U503" s="82" t="s">
        <v>385</v>
      </c>
      <c r="V503" s="82"/>
      <c r="W503" s="82"/>
      <c r="X503" s="82"/>
      <c r="Y503" s="82"/>
      <c r="Z503" s="82"/>
      <c r="AA503" s="82"/>
      <c r="AB503" s="83" t="s">
        <v>670</v>
      </c>
      <c r="AC503" s="83" t="s">
        <v>672</v>
      </c>
    </row>
    <row r="504" spans="1:29" ht="15" customHeight="1">
      <c r="A504" s="81">
        <v>503</v>
      </c>
      <c r="B504" s="81" t="s">
        <v>663</v>
      </c>
      <c r="C504" s="82" t="s">
        <v>974</v>
      </c>
      <c r="D504" s="82" t="s">
        <v>342</v>
      </c>
      <c r="E504" s="82" t="s">
        <v>343</v>
      </c>
      <c r="F504" s="82" t="s">
        <v>344</v>
      </c>
      <c r="G504" s="82" t="s">
        <v>345</v>
      </c>
      <c r="H504" s="82" t="s">
        <v>349</v>
      </c>
      <c r="I504" s="82" t="s">
        <v>347</v>
      </c>
      <c r="J504" s="82" t="s">
        <v>317</v>
      </c>
      <c r="K504" s="82" t="s">
        <v>318</v>
      </c>
      <c r="L504" s="82" t="s">
        <v>319</v>
      </c>
      <c r="M504" s="82" t="s">
        <v>320</v>
      </c>
      <c r="N504" s="82" t="s">
        <v>321</v>
      </c>
      <c r="O504" s="82" t="s">
        <v>322</v>
      </c>
      <c r="P504" s="82" t="s">
        <v>323</v>
      </c>
      <c r="Q504" s="82" t="s">
        <v>324</v>
      </c>
      <c r="R504" s="82" t="s">
        <v>325</v>
      </c>
      <c r="S504" s="82" t="s">
        <v>326</v>
      </c>
      <c r="T504" s="82" t="s">
        <v>327</v>
      </c>
      <c r="U504" s="82"/>
      <c r="V504" s="82"/>
      <c r="W504" s="82"/>
      <c r="X504" s="82"/>
      <c r="Y504" s="82"/>
      <c r="Z504" s="82"/>
      <c r="AA504" s="82"/>
      <c r="AB504" s="83" t="s">
        <v>670</v>
      </c>
      <c r="AC504" s="83" t="s">
        <v>672</v>
      </c>
    </row>
    <row r="505" spans="1:29" ht="15" customHeight="1">
      <c r="A505" s="81">
        <v>504</v>
      </c>
      <c r="B505" s="81" t="s">
        <v>663</v>
      </c>
      <c r="C505" s="82" t="s">
        <v>975</v>
      </c>
      <c r="D505" s="82" t="s">
        <v>342</v>
      </c>
      <c r="E505" s="82" t="s">
        <v>343</v>
      </c>
      <c r="F505" s="82" t="s">
        <v>344</v>
      </c>
      <c r="G505" s="82" t="s">
        <v>345</v>
      </c>
      <c r="H505" s="82" t="s">
        <v>349</v>
      </c>
      <c r="I505" s="82" t="s">
        <v>347</v>
      </c>
      <c r="J505" s="82" t="s">
        <v>317</v>
      </c>
      <c r="K505" s="82" t="s">
        <v>318</v>
      </c>
      <c r="L505" s="82" t="s">
        <v>319</v>
      </c>
      <c r="M505" s="82" t="s">
        <v>320</v>
      </c>
      <c r="N505" s="82" t="s">
        <v>321</v>
      </c>
      <c r="O505" s="82" t="s">
        <v>322</v>
      </c>
      <c r="P505" s="82" t="s">
        <v>323</v>
      </c>
      <c r="Q505" s="82" t="s">
        <v>324</v>
      </c>
      <c r="R505" s="82" t="s">
        <v>325</v>
      </c>
      <c r="S505" s="82" t="s">
        <v>326</v>
      </c>
      <c r="T505" s="82" t="s">
        <v>327</v>
      </c>
      <c r="U505" s="82" t="s">
        <v>385</v>
      </c>
      <c r="V505" s="82"/>
      <c r="W505" s="82"/>
      <c r="X505" s="82"/>
      <c r="Y505" s="82"/>
      <c r="Z505" s="82"/>
      <c r="AA505" s="82"/>
      <c r="AB505" s="83" t="s">
        <v>670</v>
      </c>
      <c r="AC505" s="83" t="s">
        <v>672</v>
      </c>
    </row>
    <row r="506" spans="1:29" ht="15" customHeight="1">
      <c r="A506" s="81">
        <v>505</v>
      </c>
      <c r="B506" s="81" t="s">
        <v>663</v>
      </c>
      <c r="C506" s="82" t="s">
        <v>976</v>
      </c>
      <c r="D506" s="82" t="s">
        <v>342</v>
      </c>
      <c r="E506" s="82" t="s">
        <v>343</v>
      </c>
      <c r="F506" s="82" t="s">
        <v>344</v>
      </c>
      <c r="G506" s="82" t="s">
        <v>345</v>
      </c>
      <c r="H506" s="82" t="s">
        <v>349</v>
      </c>
      <c r="I506" s="82" t="s">
        <v>347</v>
      </c>
      <c r="J506" s="82" t="s">
        <v>317</v>
      </c>
      <c r="K506" s="82" t="s">
        <v>318</v>
      </c>
      <c r="L506" s="82" t="s">
        <v>319</v>
      </c>
      <c r="M506" s="82" t="s">
        <v>320</v>
      </c>
      <c r="N506" s="82" t="s">
        <v>321</v>
      </c>
      <c r="O506" s="82" t="s">
        <v>322</v>
      </c>
      <c r="P506" s="82" t="s">
        <v>323</v>
      </c>
      <c r="Q506" s="82" t="s">
        <v>324</v>
      </c>
      <c r="R506" s="82" t="s">
        <v>325</v>
      </c>
      <c r="S506" s="82" t="s">
        <v>326</v>
      </c>
      <c r="T506" s="82" t="s">
        <v>327</v>
      </c>
      <c r="U506" s="82" t="s">
        <v>328</v>
      </c>
      <c r="V506" s="82"/>
      <c r="W506" s="82"/>
      <c r="X506" s="82"/>
      <c r="Y506" s="82"/>
      <c r="Z506" s="82"/>
      <c r="AA506" s="82"/>
      <c r="AB506" s="83" t="s">
        <v>670</v>
      </c>
      <c r="AC506" s="83" t="s">
        <v>672</v>
      </c>
    </row>
    <row r="507" spans="1:29" ht="15" customHeight="1">
      <c r="A507" s="81">
        <v>506</v>
      </c>
      <c r="B507" s="81" t="s">
        <v>663</v>
      </c>
      <c r="C507" s="82" t="s">
        <v>977</v>
      </c>
      <c r="D507" s="82" t="s">
        <v>342</v>
      </c>
      <c r="E507" s="82" t="s">
        <v>343</v>
      </c>
      <c r="F507" s="82" t="s">
        <v>344</v>
      </c>
      <c r="G507" s="82" t="s">
        <v>345</v>
      </c>
      <c r="H507" s="82" t="s">
        <v>349</v>
      </c>
      <c r="I507" s="82" t="s">
        <v>347</v>
      </c>
      <c r="J507" s="82" t="s">
        <v>317</v>
      </c>
      <c r="K507" s="82" t="s">
        <v>318</v>
      </c>
      <c r="L507" s="82" t="s">
        <v>319</v>
      </c>
      <c r="M507" s="82" t="s">
        <v>320</v>
      </c>
      <c r="N507" s="82" t="s">
        <v>321</v>
      </c>
      <c r="O507" s="82" t="s">
        <v>322</v>
      </c>
      <c r="P507" s="82" t="s">
        <v>323</v>
      </c>
      <c r="Q507" s="82" t="s">
        <v>324</v>
      </c>
      <c r="R507" s="82" t="s">
        <v>325</v>
      </c>
      <c r="S507" s="82" t="s">
        <v>326</v>
      </c>
      <c r="T507" s="82" t="s">
        <v>327</v>
      </c>
      <c r="U507" s="82" t="s">
        <v>328</v>
      </c>
      <c r="V507" s="82" t="s">
        <v>385</v>
      </c>
      <c r="W507" s="82"/>
      <c r="X507" s="82"/>
      <c r="Y507" s="82"/>
      <c r="Z507" s="82"/>
      <c r="AA507" s="82"/>
      <c r="AB507" s="83" t="s">
        <v>670</v>
      </c>
      <c r="AC507" s="83" t="s">
        <v>672</v>
      </c>
    </row>
    <row r="508" spans="1:29" ht="15" customHeight="1">
      <c r="A508" s="81">
        <v>507</v>
      </c>
      <c r="B508" s="81" t="s">
        <v>663</v>
      </c>
      <c r="C508" s="82" t="s">
        <v>978</v>
      </c>
      <c r="D508" s="82" t="s">
        <v>342</v>
      </c>
      <c r="E508" s="82" t="s">
        <v>343</v>
      </c>
      <c r="F508" s="82" t="s">
        <v>344</v>
      </c>
      <c r="G508" s="82" t="s">
        <v>345</v>
      </c>
      <c r="H508" s="82" t="s">
        <v>349</v>
      </c>
      <c r="I508" s="82" t="s">
        <v>347</v>
      </c>
      <c r="J508" s="82" t="s">
        <v>317</v>
      </c>
      <c r="K508" s="82" t="s">
        <v>318</v>
      </c>
      <c r="L508" s="82" t="s">
        <v>319</v>
      </c>
      <c r="M508" s="82" t="s">
        <v>320</v>
      </c>
      <c r="N508" s="82" t="s">
        <v>321</v>
      </c>
      <c r="O508" s="82" t="s">
        <v>322</v>
      </c>
      <c r="P508" s="82" t="s">
        <v>323</v>
      </c>
      <c r="Q508" s="82" t="s">
        <v>324</v>
      </c>
      <c r="R508" s="82" t="s">
        <v>325</v>
      </c>
      <c r="S508" s="82" t="s">
        <v>326</v>
      </c>
      <c r="T508" s="82" t="s">
        <v>327</v>
      </c>
      <c r="U508" s="82" t="s">
        <v>328</v>
      </c>
      <c r="V508" s="82"/>
      <c r="W508" s="82"/>
      <c r="X508" s="82"/>
      <c r="Y508" s="82"/>
      <c r="Z508" s="82"/>
      <c r="AA508" s="82"/>
      <c r="AB508" s="83" t="s">
        <v>670</v>
      </c>
      <c r="AC508" s="83" t="s">
        <v>672</v>
      </c>
    </row>
    <row r="509" spans="1:29" ht="15" customHeight="1">
      <c r="A509" s="81">
        <v>508</v>
      </c>
      <c r="B509" s="81" t="s">
        <v>663</v>
      </c>
      <c r="C509" s="82" t="s">
        <v>979</v>
      </c>
      <c r="D509" s="82" t="s">
        <v>342</v>
      </c>
      <c r="E509" s="82" t="s">
        <v>343</v>
      </c>
      <c r="F509" s="82" t="s">
        <v>344</v>
      </c>
      <c r="G509" s="82" t="s">
        <v>345</v>
      </c>
      <c r="H509" s="82" t="s">
        <v>349</v>
      </c>
      <c r="I509" s="82" t="s">
        <v>347</v>
      </c>
      <c r="J509" s="82" t="s">
        <v>317</v>
      </c>
      <c r="K509" s="82" t="s">
        <v>318</v>
      </c>
      <c r="L509" s="82" t="s">
        <v>319</v>
      </c>
      <c r="M509" s="82" t="s">
        <v>320</v>
      </c>
      <c r="N509" s="82" t="s">
        <v>321</v>
      </c>
      <c r="O509" s="82" t="s">
        <v>322</v>
      </c>
      <c r="P509" s="82" t="s">
        <v>323</v>
      </c>
      <c r="Q509" s="82" t="s">
        <v>324</v>
      </c>
      <c r="R509" s="82" t="s">
        <v>325</v>
      </c>
      <c r="S509" s="82" t="s">
        <v>326</v>
      </c>
      <c r="T509" s="82" t="s">
        <v>327</v>
      </c>
      <c r="U509" s="82" t="s">
        <v>328</v>
      </c>
      <c r="V509" s="82" t="s">
        <v>385</v>
      </c>
      <c r="W509" s="82"/>
      <c r="X509" s="82"/>
      <c r="Y509" s="82"/>
      <c r="Z509" s="82"/>
      <c r="AA509" s="82"/>
      <c r="AB509" s="83" t="s">
        <v>670</v>
      </c>
      <c r="AC509" s="83" t="s">
        <v>672</v>
      </c>
    </row>
    <row r="510" spans="1:29" ht="15" customHeight="1">
      <c r="A510" s="81">
        <v>509</v>
      </c>
      <c r="B510" s="81" t="s">
        <v>663</v>
      </c>
      <c r="C510" s="82" t="s">
        <v>980</v>
      </c>
      <c r="D510" s="82" t="s">
        <v>342</v>
      </c>
      <c r="E510" s="82" t="s">
        <v>343</v>
      </c>
      <c r="F510" s="82" t="s">
        <v>344</v>
      </c>
      <c r="G510" s="82" t="s">
        <v>345</v>
      </c>
      <c r="H510" s="82" t="s">
        <v>349</v>
      </c>
      <c r="I510" s="82" t="s">
        <v>347</v>
      </c>
      <c r="J510" s="82" t="s">
        <v>317</v>
      </c>
      <c r="K510" s="82" t="s">
        <v>318</v>
      </c>
      <c r="L510" s="82" t="s">
        <v>319</v>
      </c>
      <c r="M510" s="82" t="s">
        <v>320</v>
      </c>
      <c r="N510" s="82" t="s">
        <v>321</v>
      </c>
      <c r="O510" s="82" t="s">
        <v>322</v>
      </c>
      <c r="P510" s="82" t="s">
        <v>323</v>
      </c>
      <c r="Q510" s="82" t="s">
        <v>324</v>
      </c>
      <c r="R510" s="82" t="s">
        <v>325</v>
      </c>
      <c r="S510" s="82" t="s">
        <v>326</v>
      </c>
      <c r="T510" s="82" t="s">
        <v>327</v>
      </c>
      <c r="U510" s="82" t="s">
        <v>328</v>
      </c>
      <c r="V510" s="82" t="s">
        <v>329</v>
      </c>
      <c r="W510" s="82"/>
      <c r="X510" s="82"/>
      <c r="Y510" s="82"/>
      <c r="Z510" s="82"/>
      <c r="AA510" s="82"/>
      <c r="AB510" s="83" t="s">
        <v>670</v>
      </c>
      <c r="AC510" s="83" t="s">
        <v>672</v>
      </c>
    </row>
    <row r="511" spans="1:29" ht="15" customHeight="1">
      <c r="A511" s="81">
        <v>510</v>
      </c>
      <c r="B511" s="81" t="s">
        <v>663</v>
      </c>
      <c r="C511" s="82" t="s">
        <v>981</v>
      </c>
      <c r="D511" s="82" t="s">
        <v>342</v>
      </c>
      <c r="E511" s="82" t="s">
        <v>343</v>
      </c>
      <c r="F511" s="82" t="s">
        <v>344</v>
      </c>
      <c r="G511" s="82" t="s">
        <v>345</v>
      </c>
      <c r="H511" s="82" t="s">
        <v>349</v>
      </c>
      <c r="I511" s="82" t="s">
        <v>347</v>
      </c>
      <c r="J511" s="82" t="s">
        <v>317</v>
      </c>
      <c r="K511" s="82" t="s">
        <v>318</v>
      </c>
      <c r="L511" s="82" t="s">
        <v>319</v>
      </c>
      <c r="M511" s="82" t="s">
        <v>320</v>
      </c>
      <c r="N511" s="82" t="s">
        <v>321</v>
      </c>
      <c r="O511" s="82" t="s">
        <v>322</v>
      </c>
      <c r="P511" s="82" t="s">
        <v>323</v>
      </c>
      <c r="Q511" s="82" t="s">
        <v>324</v>
      </c>
      <c r="R511" s="82" t="s">
        <v>325</v>
      </c>
      <c r="S511" s="82" t="s">
        <v>326</v>
      </c>
      <c r="T511" s="82" t="s">
        <v>327</v>
      </c>
      <c r="U511" s="82" t="s">
        <v>328</v>
      </c>
      <c r="V511" s="82" t="s">
        <v>329</v>
      </c>
      <c r="W511" s="82" t="s">
        <v>385</v>
      </c>
      <c r="X511" s="82"/>
      <c r="Y511" s="82"/>
      <c r="Z511" s="82"/>
      <c r="AA511" s="82"/>
      <c r="AB511" s="83" t="s">
        <v>670</v>
      </c>
      <c r="AC511" s="83" t="s">
        <v>672</v>
      </c>
    </row>
    <row r="512" spans="1:29" ht="15" customHeight="1">
      <c r="A512" s="81">
        <v>511</v>
      </c>
      <c r="B512" s="81" t="s">
        <v>663</v>
      </c>
      <c r="C512" s="82" t="s">
        <v>982</v>
      </c>
      <c r="D512" s="82" t="s">
        <v>342</v>
      </c>
      <c r="E512" s="82" t="s">
        <v>343</v>
      </c>
      <c r="F512" s="82" t="s">
        <v>344</v>
      </c>
      <c r="G512" s="82" t="s">
        <v>345</v>
      </c>
      <c r="H512" s="82" t="s">
        <v>349</v>
      </c>
      <c r="I512" s="82" t="s">
        <v>347</v>
      </c>
      <c r="J512" s="82" t="s">
        <v>317</v>
      </c>
      <c r="K512" s="82" t="s">
        <v>318</v>
      </c>
      <c r="L512" s="82" t="s">
        <v>319</v>
      </c>
      <c r="M512" s="82" t="s">
        <v>320</v>
      </c>
      <c r="N512" s="82" t="s">
        <v>321</v>
      </c>
      <c r="O512" s="82" t="s">
        <v>322</v>
      </c>
      <c r="P512" s="82" t="s">
        <v>323</v>
      </c>
      <c r="Q512" s="82" t="s">
        <v>324</v>
      </c>
      <c r="R512" s="82" t="s">
        <v>325</v>
      </c>
      <c r="S512" s="82" t="s">
        <v>326</v>
      </c>
      <c r="T512" s="82" t="s">
        <v>327</v>
      </c>
      <c r="U512" s="82" t="s">
        <v>328</v>
      </c>
      <c r="V512" s="82" t="s">
        <v>329</v>
      </c>
      <c r="W512" s="82"/>
      <c r="X512" s="82"/>
      <c r="Y512" s="82"/>
      <c r="Z512" s="82"/>
      <c r="AA512" s="82"/>
      <c r="AB512" s="83" t="s">
        <v>670</v>
      </c>
      <c r="AC512" s="83" t="s">
        <v>672</v>
      </c>
    </row>
    <row r="513" spans="1:29" ht="15" customHeight="1">
      <c r="A513" s="81">
        <v>512</v>
      </c>
      <c r="B513" s="81" t="s">
        <v>663</v>
      </c>
      <c r="C513" s="82" t="s">
        <v>983</v>
      </c>
      <c r="D513" s="82" t="s">
        <v>342</v>
      </c>
      <c r="E513" s="82" t="s">
        <v>343</v>
      </c>
      <c r="F513" s="82" t="s">
        <v>344</v>
      </c>
      <c r="G513" s="82" t="s">
        <v>345</v>
      </c>
      <c r="H513" s="82" t="s">
        <v>349</v>
      </c>
      <c r="I513" s="82" t="s">
        <v>347</v>
      </c>
      <c r="J513" s="82" t="s">
        <v>317</v>
      </c>
      <c r="K513" s="82" t="s">
        <v>318</v>
      </c>
      <c r="L513" s="82" t="s">
        <v>319</v>
      </c>
      <c r="M513" s="82" t="s">
        <v>320</v>
      </c>
      <c r="N513" s="82" t="s">
        <v>321</v>
      </c>
      <c r="O513" s="82" t="s">
        <v>322</v>
      </c>
      <c r="P513" s="82" t="s">
        <v>323</v>
      </c>
      <c r="Q513" s="82" t="s">
        <v>324</v>
      </c>
      <c r="R513" s="82" t="s">
        <v>325</v>
      </c>
      <c r="S513" s="82" t="s">
        <v>326</v>
      </c>
      <c r="T513" s="82" t="s">
        <v>327</v>
      </c>
      <c r="U513" s="82" t="s">
        <v>328</v>
      </c>
      <c r="V513" s="82" t="s">
        <v>329</v>
      </c>
      <c r="W513" s="82" t="s">
        <v>385</v>
      </c>
      <c r="X513" s="82"/>
      <c r="Y513" s="82"/>
      <c r="Z513" s="82"/>
      <c r="AA513" s="82"/>
      <c r="AB513" s="83" t="s">
        <v>670</v>
      </c>
      <c r="AC513" s="83" t="s">
        <v>672</v>
      </c>
    </row>
    <row r="514" spans="1:29" ht="15" customHeight="1">
      <c r="A514" s="81">
        <v>513</v>
      </c>
      <c r="B514" s="81" t="s">
        <v>663</v>
      </c>
      <c r="C514" s="82" t="s">
        <v>984</v>
      </c>
      <c r="D514" s="82" t="s">
        <v>342</v>
      </c>
      <c r="E514" s="82" t="s">
        <v>343</v>
      </c>
      <c r="F514" s="82" t="s">
        <v>344</v>
      </c>
      <c r="G514" s="82" t="s">
        <v>345</v>
      </c>
      <c r="H514" s="82" t="s">
        <v>349</v>
      </c>
      <c r="I514" s="82" t="s">
        <v>347</v>
      </c>
      <c r="J514" s="82" t="s">
        <v>317</v>
      </c>
      <c r="K514" s="82" t="s">
        <v>318</v>
      </c>
      <c r="L514" s="82" t="s">
        <v>319</v>
      </c>
      <c r="M514" s="82" t="s">
        <v>320</v>
      </c>
      <c r="N514" s="82" t="s">
        <v>321</v>
      </c>
      <c r="O514" s="82" t="s">
        <v>322</v>
      </c>
      <c r="P514" s="82" t="s">
        <v>323</v>
      </c>
      <c r="Q514" s="82" t="s">
        <v>324</v>
      </c>
      <c r="R514" s="82" t="s">
        <v>325</v>
      </c>
      <c r="S514" s="82" t="s">
        <v>326</v>
      </c>
      <c r="T514" s="82" t="s">
        <v>327</v>
      </c>
      <c r="U514" s="82" t="s">
        <v>328</v>
      </c>
      <c r="V514" s="82" t="s">
        <v>329</v>
      </c>
      <c r="W514" s="82" t="s">
        <v>330</v>
      </c>
      <c r="X514" s="82"/>
      <c r="Y514" s="82"/>
      <c r="Z514" s="82"/>
      <c r="AA514" s="82"/>
      <c r="AB514" s="83" t="s">
        <v>670</v>
      </c>
      <c r="AC514" s="83" t="s">
        <v>672</v>
      </c>
    </row>
    <row r="515" spans="1:29" ht="15" customHeight="1">
      <c r="A515" s="81">
        <v>514</v>
      </c>
      <c r="B515" s="81" t="s">
        <v>663</v>
      </c>
      <c r="C515" s="82" t="s">
        <v>985</v>
      </c>
      <c r="D515" s="82" t="s">
        <v>342</v>
      </c>
      <c r="E515" s="82" t="s">
        <v>343</v>
      </c>
      <c r="F515" s="82" t="s">
        <v>344</v>
      </c>
      <c r="G515" s="82" t="s">
        <v>345</v>
      </c>
      <c r="H515" s="82" t="s">
        <v>349</v>
      </c>
      <c r="I515" s="82" t="s">
        <v>347</v>
      </c>
      <c r="J515" s="82" t="s">
        <v>317</v>
      </c>
      <c r="K515" s="82" t="s">
        <v>318</v>
      </c>
      <c r="L515" s="82" t="s">
        <v>319</v>
      </c>
      <c r="M515" s="82" t="s">
        <v>320</v>
      </c>
      <c r="N515" s="82" t="s">
        <v>321</v>
      </c>
      <c r="O515" s="82" t="s">
        <v>322</v>
      </c>
      <c r="P515" s="82" t="s">
        <v>323</v>
      </c>
      <c r="Q515" s="82" t="s">
        <v>324</v>
      </c>
      <c r="R515" s="82" t="s">
        <v>325</v>
      </c>
      <c r="S515" s="82" t="s">
        <v>326</v>
      </c>
      <c r="T515" s="82" t="s">
        <v>327</v>
      </c>
      <c r="U515" s="82" t="s">
        <v>328</v>
      </c>
      <c r="V515" s="82" t="s">
        <v>329</v>
      </c>
      <c r="W515" s="82" t="s">
        <v>330</v>
      </c>
      <c r="X515" s="82" t="s">
        <v>385</v>
      </c>
      <c r="Y515" s="82"/>
      <c r="Z515" s="82"/>
      <c r="AA515" s="82"/>
      <c r="AB515" s="83" t="s">
        <v>670</v>
      </c>
      <c r="AC515" s="83" t="s">
        <v>672</v>
      </c>
    </row>
    <row r="516" spans="1:29" ht="15" customHeight="1">
      <c r="A516" s="81">
        <v>515</v>
      </c>
      <c r="B516" s="81" t="s">
        <v>663</v>
      </c>
      <c r="C516" s="82" t="s">
        <v>986</v>
      </c>
      <c r="D516" s="82" t="s">
        <v>342</v>
      </c>
      <c r="E516" s="82" t="s">
        <v>343</v>
      </c>
      <c r="F516" s="82" t="s">
        <v>344</v>
      </c>
      <c r="G516" s="82" t="s">
        <v>345</v>
      </c>
      <c r="H516" s="82" t="s">
        <v>349</v>
      </c>
      <c r="I516" s="82" t="s">
        <v>347</v>
      </c>
      <c r="J516" s="82" t="s">
        <v>317</v>
      </c>
      <c r="K516" s="82" t="s">
        <v>318</v>
      </c>
      <c r="L516" s="82" t="s">
        <v>319</v>
      </c>
      <c r="M516" s="82" t="s">
        <v>320</v>
      </c>
      <c r="N516" s="82" t="s">
        <v>321</v>
      </c>
      <c r="O516" s="82" t="s">
        <v>322</v>
      </c>
      <c r="P516" s="82" t="s">
        <v>323</v>
      </c>
      <c r="Q516" s="82" t="s">
        <v>324</v>
      </c>
      <c r="R516" s="82" t="s">
        <v>325</v>
      </c>
      <c r="S516" s="82" t="s">
        <v>326</v>
      </c>
      <c r="T516" s="82" t="s">
        <v>327</v>
      </c>
      <c r="U516" s="82" t="s">
        <v>328</v>
      </c>
      <c r="V516" s="82" t="s">
        <v>329</v>
      </c>
      <c r="W516" s="82" t="s">
        <v>330</v>
      </c>
      <c r="X516" s="82"/>
      <c r="Y516" s="82"/>
      <c r="Z516" s="82"/>
      <c r="AA516" s="82"/>
      <c r="AB516" s="83" t="s">
        <v>670</v>
      </c>
      <c r="AC516" s="83" t="s">
        <v>672</v>
      </c>
    </row>
    <row r="517" spans="1:29" ht="15" customHeight="1">
      <c r="A517" s="81">
        <v>516</v>
      </c>
      <c r="B517" s="81" t="s">
        <v>663</v>
      </c>
      <c r="C517" s="82" t="s">
        <v>987</v>
      </c>
      <c r="D517" s="82" t="s">
        <v>342</v>
      </c>
      <c r="E517" s="82" t="s">
        <v>343</v>
      </c>
      <c r="F517" s="82" t="s">
        <v>344</v>
      </c>
      <c r="G517" s="82" t="s">
        <v>345</v>
      </c>
      <c r="H517" s="82" t="s">
        <v>349</v>
      </c>
      <c r="I517" s="82" t="s">
        <v>347</v>
      </c>
      <c r="J517" s="82" t="s">
        <v>317</v>
      </c>
      <c r="K517" s="82" t="s">
        <v>318</v>
      </c>
      <c r="L517" s="82" t="s">
        <v>319</v>
      </c>
      <c r="M517" s="82" t="s">
        <v>320</v>
      </c>
      <c r="N517" s="82" t="s">
        <v>321</v>
      </c>
      <c r="O517" s="82" t="s">
        <v>322</v>
      </c>
      <c r="P517" s="82" t="s">
        <v>323</v>
      </c>
      <c r="Q517" s="82" t="s">
        <v>324</v>
      </c>
      <c r="R517" s="82" t="s">
        <v>325</v>
      </c>
      <c r="S517" s="82" t="s">
        <v>326</v>
      </c>
      <c r="T517" s="82" t="s">
        <v>327</v>
      </c>
      <c r="U517" s="82" t="s">
        <v>328</v>
      </c>
      <c r="V517" s="82" t="s">
        <v>329</v>
      </c>
      <c r="W517" s="82" t="s">
        <v>330</v>
      </c>
      <c r="X517" s="82" t="s">
        <v>385</v>
      </c>
      <c r="Y517" s="82"/>
      <c r="Z517" s="82"/>
      <c r="AA517" s="82"/>
      <c r="AB517" s="83" t="s">
        <v>670</v>
      </c>
      <c r="AC517" s="83" t="s">
        <v>672</v>
      </c>
    </row>
    <row r="518" spans="1:29" ht="15" customHeight="1">
      <c r="A518" s="81">
        <v>517</v>
      </c>
      <c r="B518" s="81" t="s">
        <v>663</v>
      </c>
      <c r="C518" s="82" t="s">
        <v>988</v>
      </c>
      <c r="D518" s="82" t="s">
        <v>342</v>
      </c>
      <c r="E518" s="82" t="s">
        <v>343</v>
      </c>
      <c r="F518" s="82" t="s">
        <v>344</v>
      </c>
      <c r="G518" s="82" t="s">
        <v>345</v>
      </c>
      <c r="H518" s="82" t="s">
        <v>349</v>
      </c>
      <c r="I518" s="82" t="s">
        <v>347</v>
      </c>
      <c r="J518" s="82" t="s">
        <v>317</v>
      </c>
      <c r="K518" s="82" t="s">
        <v>318</v>
      </c>
      <c r="L518" s="82" t="s">
        <v>319</v>
      </c>
      <c r="M518" s="82" t="s">
        <v>320</v>
      </c>
      <c r="N518" s="82" t="s">
        <v>321</v>
      </c>
      <c r="O518" s="82" t="s">
        <v>322</v>
      </c>
      <c r="P518" s="82" t="s">
        <v>323</v>
      </c>
      <c r="Q518" s="82" t="s">
        <v>324</v>
      </c>
      <c r="R518" s="82" t="s">
        <v>325</v>
      </c>
      <c r="S518" s="82" t="s">
        <v>326</v>
      </c>
      <c r="T518" s="82" t="s">
        <v>327</v>
      </c>
      <c r="U518" s="82" t="s">
        <v>328</v>
      </c>
      <c r="V518" s="82" t="s">
        <v>329</v>
      </c>
      <c r="W518" s="82" t="s">
        <v>330</v>
      </c>
      <c r="X518" s="82" t="s">
        <v>331</v>
      </c>
      <c r="Y518" s="82"/>
      <c r="Z518" s="82"/>
      <c r="AA518" s="82"/>
      <c r="AB518" s="83" t="s">
        <v>670</v>
      </c>
      <c r="AC518" s="83" t="s">
        <v>672</v>
      </c>
    </row>
    <row r="519" spans="1:29" ht="15" customHeight="1">
      <c r="A519" s="81">
        <v>518</v>
      </c>
      <c r="B519" s="81" t="s">
        <v>663</v>
      </c>
      <c r="C519" s="82" t="s">
        <v>989</v>
      </c>
      <c r="D519" s="82" t="s">
        <v>342</v>
      </c>
      <c r="E519" s="82" t="s">
        <v>343</v>
      </c>
      <c r="F519" s="82" t="s">
        <v>344</v>
      </c>
      <c r="G519" s="82" t="s">
        <v>345</v>
      </c>
      <c r="H519" s="82" t="s">
        <v>349</v>
      </c>
      <c r="I519" s="82" t="s">
        <v>347</v>
      </c>
      <c r="J519" s="82" t="s">
        <v>317</v>
      </c>
      <c r="K519" s="82" t="s">
        <v>318</v>
      </c>
      <c r="L519" s="82" t="s">
        <v>319</v>
      </c>
      <c r="M519" s="82" t="s">
        <v>320</v>
      </c>
      <c r="N519" s="82" t="s">
        <v>321</v>
      </c>
      <c r="O519" s="82" t="s">
        <v>322</v>
      </c>
      <c r="P519" s="82" t="s">
        <v>323</v>
      </c>
      <c r="Q519" s="82" t="s">
        <v>324</v>
      </c>
      <c r="R519" s="82" t="s">
        <v>325</v>
      </c>
      <c r="S519" s="82" t="s">
        <v>326</v>
      </c>
      <c r="T519" s="82" t="s">
        <v>327</v>
      </c>
      <c r="U519" s="82" t="s">
        <v>328</v>
      </c>
      <c r="V519" s="82" t="s">
        <v>329</v>
      </c>
      <c r="W519" s="82" t="s">
        <v>330</v>
      </c>
      <c r="X519" s="82" t="s">
        <v>331</v>
      </c>
      <c r="Y519" s="82" t="s">
        <v>385</v>
      </c>
      <c r="Z519" s="82"/>
      <c r="AA519" s="82"/>
      <c r="AB519" s="83" t="s">
        <v>670</v>
      </c>
      <c r="AC519" s="83" t="s">
        <v>672</v>
      </c>
    </row>
    <row r="520" spans="1:29" ht="15" customHeight="1">
      <c r="A520" s="81">
        <v>519</v>
      </c>
      <c r="B520" s="81" t="s">
        <v>663</v>
      </c>
      <c r="C520" s="82" t="s">
        <v>990</v>
      </c>
      <c r="D520" s="82" t="s">
        <v>342</v>
      </c>
      <c r="E520" s="82" t="s">
        <v>343</v>
      </c>
      <c r="F520" s="82" t="s">
        <v>344</v>
      </c>
      <c r="G520" s="82" t="s">
        <v>345</v>
      </c>
      <c r="H520" s="82" t="s">
        <v>349</v>
      </c>
      <c r="I520" s="82" t="s">
        <v>347</v>
      </c>
      <c r="J520" s="82" t="s">
        <v>317</v>
      </c>
      <c r="K520" s="82" t="s">
        <v>318</v>
      </c>
      <c r="L520" s="82" t="s">
        <v>319</v>
      </c>
      <c r="M520" s="82" t="s">
        <v>320</v>
      </c>
      <c r="N520" s="82" t="s">
        <v>321</v>
      </c>
      <c r="O520" s="82" t="s">
        <v>322</v>
      </c>
      <c r="P520" s="82" t="s">
        <v>323</v>
      </c>
      <c r="Q520" s="82" t="s">
        <v>324</v>
      </c>
      <c r="R520" s="82" t="s">
        <v>325</v>
      </c>
      <c r="S520" s="82" t="s">
        <v>326</v>
      </c>
      <c r="T520" s="82" t="s">
        <v>327</v>
      </c>
      <c r="U520" s="82" t="s">
        <v>328</v>
      </c>
      <c r="V520" s="82" t="s">
        <v>329</v>
      </c>
      <c r="W520" s="82" t="s">
        <v>330</v>
      </c>
      <c r="X520" s="82" t="s">
        <v>331</v>
      </c>
      <c r="Y520" s="82"/>
      <c r="Z520" s="82"/>
      <c r="AA520" s="82"/>
      <c r="AB520" s="83" t="s">
        <v>670</v>
      </c>
      <c r="AC520" s="83" t="s">
        <v>672</v>
      </c>
    </row>
    <row r="521" spans="1:29" ht="15" customHeight="1">
      <c r="A521" s="81">
        <v>520</v>
      </c>
      <c r="B521" s="81" t="s">
        <v>663</v>
      </c>
      <c r="C521" s="82" t="s">
        <v>991</v>
      </c>
      <c r="D521" s="82" t="s">
        <v>342</v>
      </c>
      <c r="E521" s="82" t="s">
        <v>343</v>
      </c>
      <c r="F521" s="82" t="s">
        <v>344</v>
      </c>
      <c r="G521" s="82" t="s">
        <v>345</v>
      </c>
      <c r="H521" s="82" t="s">
        <v>349</v>
      </c>
      <c r="I521" s="82" t="s">
        <v>347</v>
      </c>
      <c r="J521" s="82" t="s">
        <v>317</v>
      </c>
      <c r="K521" s="82" t="s">
        <v>318</v>
      </c>
      <c r="L521" s="82" t="s">
        <v>319</v>
      </c>
      <c r="M521" s="82" t="s">
        <v>320</v>
      </c>
      <c r="N521" s="82" t="s">
        <v>321</v>
      </c>
      <c r="O521" s="82" t="s">
        <v>322</v>
      </c>
      <c r="P521" s="82" t="s">
        <v>323</v>
      </c>
      <c r="Q521" s="82" t="s">
        <v>324</v>
      </c>
      <c r="R521" s="82" t="s">
        <v>325</v>
      </c>
      <c r="S521" s="82" t="s">
        <v>326</v>
      </c>
      <c r="T521" s="82" t="s">
        <v>327</v>
      </c>
      <c r="U521" s="82" t="s">
        <v>328</v>
      </c>
      <c r="V521" s="82" t="s">
        <v>329</v>
      </c>
      <c r="W521" s="82" t="s">
        <v>330</v>
      </c>
      <c r="X521" s="82" t="s">
        <v>331</v>
      </c>
      <c r="Y521" s="82" t="s">
        <v>385</v>
      </c>
      <c r="Z521" s="82"/>
      <c r="AA521" s="82"/>
      <c r="AB521" s="83" t="s">
        <v>670</v>
      </c>
      <c r="AC521" s="83" t="s">
        <v>672</v>
      </c>
    </row>
    <row r="522" spans="1:29" ht="15" customHeight="1">
      <c r="A522" s="81">
        <v>521</v>
      </c>
      <c r="B522" s="81" t="s">
        <v>663</v>
      </c>
      <c r="C522" s="82" t="s">
        <v>992</v>
      </c>
      <c r="D522" s="82" t="s">
        <v>342</v>
      </c>
      <c r="E522" s="82" t="s">
        <v>343</v>
      </c>
      <c r="F522" s="82" t="s">
        <v>344</v>
      </c>
      <c r="G522" s="82" t="s">
        <v>345</v>
      </c>
      <c r="H522" s="82" t="s">
        <v>349</v>
      </c>
      <c r="I522" s="82" t="s">
        <v>347</v>
      </c>
      <c r="J522" s="82" t="s">
        <v>317</v>
      </c>
      <c r="K522" s="82" t="s">
        <v>318</v>
      </c>
      <c r="L522" s="82" t="s">
        <v>319</v>
      </c>
      <c r="M522" s="82" t="s">
        <v>320</v>
      </c>
      <c r="N522" s="82" t="s">
        <v>321</v>
      </c>
      <c r="O522" s="82" t="s">
        <v>322</v>
      </c>
      <c r="P522" s="82" t="s">
        <v>323</v>
      </c>
      <c r="Q522" s="82" t="s">
        <v>324</v>
      </c>
      <c r="R522" s="82" t="s">
        <v>325</v>
      </c>
      <c r="S522" s="82" t="s">
        <v>326</v>
      </c>
      <c r="T522" s="82" t="s">
        <v>327</v>
      </c>
      <c r="U522" s="82" t="s">
        <v>328</v>
      </c>
      <c r="V522" s="82" t="s">
        <v>329</v>
      </c>
      <c r="W522" s="82" t="s">
        <v>330</v>
      </c>
      <c r="X522" s="82" t="s">
        <v>331</v>
      </c>
      <c r="Y522" s="82" t="s">
        <v>332</v>
      </c>
      <c r="Z522" s="82"/>
      <c r="AA522" s="82"/>
      <c r="AB522" s="83" t="s">
        <v>670</v>
      </c>
      <c r="AC522" s="83" t="s">
        <v>672</v>
      </c>
    </row>
    <row r="523" spans="1:29" ht="15" customHeight="1">
      <c r="A523" s="81">
        <v>522</v>
      </c>
      <c r="B523" s="81" t="s">
        <v>663</v>
      </c>
      <c r="C523" s="82" t="s">
        <v>993</v>
      </c>
      <c r="D523" s="82" t="s">
        <v>342</v>
      </c>
      <c r="E523" s="82" t="s">
        <v>343</v>
      </c>
      <c r="F523" s="82" t="s">
        <v>344</v>
      </c>
      <c r="G523" s="82" t="s">
        <v>345</v>
      </c>
      <c r="H523" s="82" t="s">
        <v>349</v>
      </c>
      <c r="I523" s="82" t="s">
        <v>347</v>
      </c>
      <c r="J523" s="82" t="s">
        <v>317</v>
      </c>
      <c r="K523" s="82" t="s">
        <v>318</v>
      </c>
      <c r="L523" s="82" t="s">
        <v>319</v>
      </c>
      <c r="M523" s="82" t="s">
        <v>320</v>
      </c>
      <c r="N523" s="82" t="s">
        <v>321</v>
      </c>
      <c r="O523" s="82" t="s">
        <v>322</v>
      </c>
      <c r="P523" s="82" t="s">
        <v>323</v>
      </c>
      <c r="Q523" s="82" t="s">
        <v>324</v>
      </c>
      <c r="R523" s="82" t="s">
        <v>325</v>
      </c>
      <c r="S523" s="82" t="s">
        <v>326</v>
      </c>
      <c r="T523" s="82" t="s">
        <v>327</v>
      </c>
      <c r="U523" s="82" t="s">
        <v>328</v>
      </c>
      <c r="V523" s="82" t="s">
        <v>329</v>
      </c>
      <c r="W523" s="82" t="s">
        <v>330</v>
      </c>
      <c r="X523" s="82" t="s">
        <v>331</v>
      </c>
      <c r="Y523" s="82" t="s">
        <v>332</v>
      </c>
      <c r="Z523" s="82" t="s">
        <v>385</v>
      </c>
      <c r="AA523" s="82"/>
      <c r="AB523" s="83" t="s">
        <v>670</v>
      </c>
      <c r="AC523" s="83" t="s">
        <v>672</v>
      </c>
    </row>
    <row r="524" spans="1:29" ht="15" customHeight="1">
      <c r="A524" s="81">
        <v>523</v>
      </c>
      <c r="B524" s="81" t="s">
        <v>663</v>
      </c>
      <c r="C524" s="82" t="s">
        <v>994</v>
      </c>
      <c r="D524" s="82" t="s">
        <v>342</v>
      </c>
      <c r="E524" s="82" t="s">
        <v>343</v>
      </c>
      <c r="F524" s="82" t="s">
        <v>344</v>
      </c>
      <c r="G524" s="82" t="s">
        <v>345</v>
      </c>
      <c r="H524" s="82" t="s">
        <v>349</v>
      </c>
      <c r="I524" s="82" t="s">
        <v>347</v>
      </c>
      <c r="J524" s="82" t="s">
        <v>317</v>
      </c>
      <c r="K524" s="82" t="s">
        <v>318</v>
      </c>
      <c r="L524" s="82" t="s">
        <v>319</v>
      </c>
      <c r="M524" s="82" t="s">
        <v>320</v>
      </c>
      <c r="N524" s="82" t="s">
        <v>321</v>
      </c>
      <c r="O524" s="82" t="s">
        <v>322</v>
      </c>
      <c r="P524" s="82" t="s">
        <v>323</v>
      </c>
      <c r="Q524" s="82" t="s">
        <v>324</v>
      </c>
      <c r="R524" s="82" t="s">
        <v>325</v>
      </c>
      <c r="S524" s="82" t="s">
        <v>326</v>
      </c>
      <c r="T524" s="82" t="s">
        <v>327</v>
      </c>
      <c r="U524" s="82" t="s">
        <v>328</v>
      </c>
      <c r="V524" s="82" t="s">
        <v>329</v>
      </c>
      <c r="W524" s="82" t="s">
        <v>330</v>
      </c>
      <c r="X524" s="82" t="s">
        <v>331</v>
      </c>
      <c r="Y524" s="82" t="s">
        <v>332</v>
      </c>
      <c r="Z524" s="82"/>
      <c r="AA524" s="82"/>
      <c r="AB524" s="83" t="s">
        <v>670</v>
      </c>
      <c r="AC524" s="83" t="s">
        <v>672</v>
      </c>
    </row>
    <row r="525" spans="1:29" ht="15" customHeight="1">
      <c r="A525" s="81">
        <v>524</v>
      </c>
      <c r="B525" s="81" t="s">
        <v>663</v>
      </c>
      <c r="C525" s="82" t="s">
        <v>995</v>
      </c>
      <c r="D525" s="82" t="s">
        <v>342</v>
      </c>
      <c r="E525" s="82" t="s">
        <v>343</v>
      </c>
      <c r="F525" s="82" t="s">
        <v>344</v>
      </c>
      <c r="G525" s="82" t="s">
        <v>345</v>
      </c>
      <c r="H525" s="82" t="s">
        <v>349</v>
      </c>
      <c r="I525" s="82" t="s">
        <v>347</v>
      </c>
      <c r="J525" s="82" t="s">
        <v>317</v>
      </c>
      <c r="K525" s="82" t="s">
        <v>318</v>
      </c>
      <c r="L525" s="82" t="s">
        <v>319</v>
      </c>
      <c r="M525" s="82" t="s">
        <v>320</v>
      </c>
      <c r="N525" s="82" t="s">
        <v>321</v>
      </c>
      <c r="O525" s="82" t="s">
        <v>322</v>
      </c>
      <c r="P525" s="82" t="s">
        <v>323</v>
      </c>
      <c r="Q525" s="82" t="s">
        <v>324</v>
      </c>
      <c r="R525" s="82" t="s">
        <v>325</v>
      </c>
      <c r="S525" s="82" t="s">
        <v>326</v>
      </c>
      <c r="T525" s="82" t="s">
        <v>327</v>
      </c>
      <c r="U525" s="82" t="s">
        <v>328</v>
      </c>
      <c r="V525" s="82" t="s">
        <v>329</v>
      </c>
      <c r="W525" s="82" t="s">
        <v>330</v>
      </c>
      <c r="X525" s="82" t="s">
        <v>331</v>
      </c>
      <c r="Y525" s="82" t="s">
        <v>332</v>
      </c>
      <c r="Z525" s="82" t="s">
        <v>385</v>
      </c>
      <c r="AA525" s="82"/>
      <c r="AB525" s="83" t="s">
        <v>670</v>
      </c>
      <c r="AC525" s="83" t="s">
        <v>672</v>
      </c>
    </row>
    <row r="526" spans="1:29" ht="15" customHeight="1">
      <c r="A526" s="81">
        <v>525</v>
      </c>
      <c r="B526" s="81" t="s">
        <v>663</v>
      </c>
      <c r="C526" s="82" t="s">
        <v>996</v>
      </c>
      <c r="D526" s="82" t="s">
        <v>342</v>
      </c>
      <c r="E526" s="82" t="s">
        <v>343</v>
      </c>
      <c r="F526" s="82" t="s">
        <v>344</v>
      </c>
      <c r="G526" s="82" t="s">
        <v>345</v>
      </c>
      <c r="H526" s="82" t="s">
        <v>349</v>
      </c>
      <c r="I526" s="82" t="s">
        <v>347</v>
      </c>
      <c r="J526" s="82" t="s">
        <v>317</v>
      </c>
      <c r="K526" s="82" t="s">
        <v>318</v>
      </c>
      <c r="L526" s="82" t="s">
        <v>319</v>
      </c>
      <c r="M526" s="82" t="s">
        <v>320</v>
      </c>
      <c r="N526" s="82" t="s">
        <v>321</v>
      </c>
      <c r="O526" s="82" t="s">
        <v>322</v>
      </c>
      <c r="P526" s="82" t="s">
        <v>323</v>
      </c>
      <c r="Q526" s="82" t="s">
        <v>324</v>
      </c>
      <c r="R526" s="82" t="s">
        <v>325</v>
      </c>
      <c r="S526" s="82" t="s">
        <v>326</v>
      </c>
      <c r="T526" s="82" t="s">
        <v>327</v>
      </c>
      <c r="U526" s="82" t="s">
        <v>328</v>
      </c>
      <c r="V526" s="82" t="s">
        <v>329</v>
      </c>
      <c r="W526" s="82" t="s">
        <v>330</v>
      </c>
      <c r="X526" s="82" t="s">
        <v>331</v>
      </c>
      <c r="Y526" s="82" t="s">
        <v>332</v>
      </c>
      <c r="Z526" s="82" t="s">
        <v>333</v>
      </c>
      <c r="AA526" s="82"/>
      <c r="AB526" s="83" t="s">
        <v>670</v>
      </c>
      <c r="AC526" s="83" t="s">
        <v>672</v>
      </c>
    </row>
    <row r="527" spans="1:29" ht="15" customHeight="1">
      <c r="A527" s="81">
        <v>526</v>
      </c>
      <c r="B527" s="81" t="s">
        <v>663</v>
      </c>
      <c r="C527" s="82" t="s">
        <v>997</v>
      </c>
      <c r="D527" s="82" t="s">
        <v>342</v>
      </c>
      <c r="E527" s="82" t="s">
        <v>343</v>
      </c>
      <c r="F527" s="82" t="s">
        <v>344</v>
      </c>
      <c r="G527" s="82" t="s">
        <v>345</v>
      </c>
      <c r="H527" s="82" t="s">
        <v>349</v>
      </c>
      <c r="I527" s="82" t="s">
        <v>347</v>
      </c>
      <c r="J527" s="82" t="s">
        <v>317</v>
      </c>
      <c r="K527" s="82" t="s">
        <v>318</v>
      </c>
      <c r="L527" s="82" t="s">
        <v>319</v>
      </c>
      <c r="M527" s="82" t="s">
        <v>320</v>
      </c>
      <c r="N527" s="82" t="s">
        <v>321</v>
      </c>
      <c r="O527" s="82" t="s">
        <v>322</v>
      </c>
      <c r="P527" s="82" t="s">
        <v>323</v>
      </c>
      <c r="Q527" s="82" t="s">
        <v>324</v>
      </c>
      <c r="R527" s="82" t="s">
        <v>325</v>
      </c>
      <c r="S527" s="82" t="s">
        <v>326</v>
      </c>
      <c r="T527" s="82" t="s">
        <v>327</v>
      </c>
      <c r="U527" s="82" t="s">
        <v>328</v>
      </c>
      <c r="V527" s="82" t="s">
        <v>329</v>
      </c>
      <c r="W527" s="82" t="s">
        <v>330</v>
      </c>
      <c r="X527" s="82" t="s">
        <v>331</v>
      </c>
      <c r="Y527" s="82" t="s">
        <v>332</v>
      </c>
      <c r="Z527" s="82" t="s">
        <v>333</v>
      </c>
      <c r="AA527" s="82" t="s">
        <v>385</v>
      </c>
      <c r="AB527" s="83" t="s">
        <v>670</v>
      </c>
      <c r="AC527" s="83" t="s">
        <v>672</v>
      </c>
    </row>
    <row r="528" spans="1:29" ht="15" customHeight="1">
      <c r="A528" s="81">
        <v>527</v>
      </c>
      <c r="B528" s="81" t="s">
        <v>663</v>
      </c>
      <c r="C528" s="82" t="s">
        <v>998</v>
      </c>
      <c r="D528" s="82" t="s">
        <v>342</v>
      </c>
      <c r="E528" s="82" t="s">
        <v>343</v>
      </c>
      <c r="F528" s="82" t="s">
        <v>344</v>
      </c>
      <c r="G528" s="82" t="s">
        <v>345</v>
      </c>
      <c r="H528" s="82" t="s">
        <v>349</v>
      </c>
      <c r="I528" s="82" t="s">
        <v>347</v>
      </c>
      <c r="J528" s="82" t="s">
        <v>317</v>
      </c>
      <c r="K528" s="82" t="s">
        <v>318</v>
      </c>
      <c r="L528" s="82" t="s">
        <v>319</v>
      </c>
      <c r="M528" s="82" t="s">
        <v>320</v>
      </c>
      <c r="N528" s="82" t="s">
        <v>321</v>
      </c>
      <c r="O528" s="82" t="s">
        <v>322</v>
      </c>
      <c r="P528" s="82" t="s">
        <v>323</v>
      </c>
      <c r="Q528" s="82" t="s">
        <v>324</v>
      </c>
      <c r="R528" s="82" t="s">
        <v>325</v>
      </c>
      <c r="S528" s="82" t="s">
        <v>326</v>
      </c>
      <c r="T528" s="82" t="s">
        <v>327</v>
      </c>
      <c r="U528" s="82" t="s">
        <v>328</v>
      </c>
      <c r="V528" s="82" t="s">
        <v>329</v>
      </c>
      <c r="W528" s="82" t="s">
        <v>330</v>
      </c>
      <c r="X528" s="82" t="s">
        <v>331</v>
      </c>
      <c r="Y528" s="82" t="s">
        <v>332</v>
      </c>
      <c r="Z528" s="82" t="s">
        <v>333</v>
      </c>
      <c r="AA528" s="82"/>
      <c r="AB528" s="83" t="s">
        <v>670</v>
      </c>
      <c r="AC528" s="83" t="s">
        <v>672</v>
      </c>
    </row>
    <row r="529" spans="1:29" ht="15" customHeight="1">
      <c r="A529" s="81">
        <v>528</v>
      </c>
      <c r="B529" s="81" t="s">
        <v>663</v>
      </c>
      <c r="C529" s="82" t="s">
        <v>999</v>
      </c>
      <c r="D529" s="82" t="s">
        <v>342</v>
      </c>
      <c r="E529" s="82" t="s">
        <v>343</v>
      </c>
      <c r="F529" s="82" t="s">
        <v>344</v>
      </c>
      <c r="G529" s="82" t="s">
        <v>345</v>
      </c>
      <c r="H529" s="82" t="s">
        <v>349</v>
      </c>
      <c r="I529" s="82" t="s">
        <v>347</v>
      </c>
      <c r="J529" s="82" t="s">
        <v>317</v>
      </c>
      <c r="K529" s="82" t="s">
        <v>318</v>
      </c>
      <c r="L529" s="82" t="s">
        <v>319</v>
      </c>
      <c r="M529" s="82" t="s">
        <v>320</v>
      </c>
      <c r="N529" s="82" t="s">
        <v>321</v>
      </c>
      <c r="O529" s="82" t="s">
        <v>322</v>
      </c>
      <c r="P529" s="82" t="s">
        <v>323</v>
      </c>
      <c r="Q529" s="82" t="s">
        <v>324</v>
      </c>
      <c r="R529" s="82" t="s">
        <v>325</v>
      </c>
      <c r="S529" s="82" t="s">
        <v>326</v>
      </c>
      <c r="T529" s="82" t="s">
        <v>327</v>
      </c>
      <c r="U529" s="82" t="s">
        <v>328</v>
      </c>
      <c r="V529" s="82" t="s">
        <v>329</v>
      </c>
      <c r="W529" s="82" t="s">
        <v>330</v>
      </c>
      <c r="X529" s="82" t="s">
        <v>331</v>
      </c>
      <c r="Y529" s="82" t="s">
        <v>332</v>
      </c>
      <c r="Z529" s="82" t="s">
        <v>333</v>
      </c>
      <c r="AA529" s="82" t="s">
        <v>385</v>
      </c>
      <c r="AB529" s="83" t="s">
        <v>670</v>
      </c>
      <c r="AC529" s="83" t="s">
        <v>672</v>
      </c>
    </row>
    <row r="530" spans="1:29" ht="15" customHeight="1">
      <c r="A530" s="81">
        <v>529</v>
      </c>
      <c r="B530" s="81" t="s">
        <v>663</v>
      </c>
      <c r="C530" s="82" t="s">
        <v>1000</v>
      </c>
      <c r="D530" s="82" t="s">
        <v>342</v>
      </c>
      <c r="E530" s="82" t="s">
        <v>343</v>
      </c>
      <c r="F530" s="82" t="s">
        <v>344</v>
      </c>
      <c r="G530" s="82" t="s">
        <v>345</v>
      </c>
      <c r="H530" s="82" t="s">
        <v>349</v>
      </c>
      <c r="I530" s="82" t="s">
        <v>347</v>
      </c>
      <c r="J530" s="82" t="s">
        <v>317</v>
      </c>
      <c r="K530" s="82" t="s">
        <v>318</v>
      </c>
      <c r="L530" s="82" t="s">
        <v>319</v>
      </c>
      <c r="M530" s="82" t="s">
        <v>320</v>
      </c>
      <c r="N530" s="82" t="s">
        <v>321</v>
      </c>
      <c r="O530" s="82" t="s">
        <v>322</v>
      </c>
      <c r="P530" s="82" t="s">
        <v>323</v>
      </c>
      <c r="Q530" s="82" t="s">
        <v>324</v>
      </c>
      <c r="R530" s="82" t="s">
        <v>325</v>
      </c>
      <c r="S530" s="82" t="s">
        <v>326</v>
      </c>
      <c r="T530" s="82" t="s">
        <v>327</v>
      </c>
      <c r="U530" s="82" t="s">
        <v>328</v>
      </c>
      <c r="V530" s="82" t="s">
        <v>329</v>
      </c>
      <c r="W530" s="82" t="s">
        <v>330</v>
      </c>
      <c r="X530" s="82" t="s">
        <v>331</v>
      </c>
      <c r="Y530" s="82" t="s">
        <v>332</v>
      </c>
      <c r="Z530" s="82" t="s">
        <v>333</v>
      </c>
      <c r="AA530" s="82" t="s">
        <v>334</v>
      </c>
      <c r="AB530" s="83" t="s">
        <v>670</v>
      </c>
      <c r="AC530" s="83" t="s">
        <v>672</v>
      </c>
    </row>
    <row r="531" spans="1:29" ht="15" customHeight="1">
      <c r="A531" s="81">
        <v>530</v>
      </c>
      <c r="B531" s="81" t="s">
        <v>663</v>
      </c>
      <c r="C531" s="82" t="s">
        <v>1001</v>
      </c>
      <c r="D531" s="82" t="s">
        <v>342</v>
      </c>
      <c r="E531" s="82" t="s">
        <v>343</v>
      </c>
      <c r="F531" s="82" t="s">
        <v>344</v>
      </c>
      <c r="G531" s="82" t="s">
        <v>345</v>
      </c>
      <c r="H531" s="82" t="s">
        <v>349</v>
      </c>
      <c r="I531" s="82" t="s">
        <v>347</v>
      </c>
      <c r="J531" s="82" t="s">
        <v>317</v>
      </c>
      <c r="K531" s="82" t="s">
        <v>318</v>
      </c>
      <c r="L531" s="82" t="s">
        <v>319</v>
      </c>
      <c r="M531" s="82" t="s">
        <v>320</v>
      </c>
      <c r="N531" s="82" t="s">
        <v>321</v>
      </c>
      <c r="O531" s="82" t="s">
        <v>322</v>
      </c>
      <c r="P531" s="82" t="s">
        <v>323</v>
      </c>
      <c r="Q531" s="82" t="s">
        <v>324</v>
      </c>
      <c r="R531" s="82" t="s">
        <v>325</v>
      </c>
      <c r="S531" s="82" t="s">
        <v>326</v>
      </c>
      <c r="T531" s="82" t="s">
        <v>327</v>
      </c>
      <c r="U531" s="82" t="s">
        <v>328</v>
      </c>
      <c r="V531" s="82" t="s">
        <v>329</v>
      </c>
      <c r="W531" s="82" t="s">
        <v>330</v>
      </c>
      <c r="X531" s="82" t="s">
        <v>331</v>
      </c>
      <c r="Y531" s="82" t="s">
        <v>332</v>
      </c>
      <c r="Z531" s="82" t="s">
        <v>333</v>
      </c>
      <c r="AA531" s="82" t="s">
        <v>334</v>
      </c>
      <c r="AB531" s="83" t="s">
        <v>670</v>
      </c>
      <c r="AC531" s="83" t="s">
        <v>672</v>
      </c>
    </row>
  </sheetData>
  <sheetProtection sheet="1" objects="1" scenarios="1"/>
  <autoFilter ref="A1:AC531" xr:uid="{00000000-0001-0000-0900-000000000000}"/>
  <phoneticPr fontId="155"/>
  <printOptions horizontalCentered="1"/>
  <pageMargins left="0.27777777777777779" right="0.27777777777777779" top="0.34722222222222221" bottom="0.34722222222222221" header="0.3" footer="0.3"/>
  <pageSetup paperSize="9" scale="54" fitToHeight="0" orientation="landscape" r:id="rId1"/>
  <headerFooter>
    <oddFooter>&amp;C推定補完版 v1 / 推定値は要照合&amp;R&amp;P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E11"/>
  <sheetViews>
    <sheetView zoomScale="115" zoomScaleNormal="115" workbookViewId="0"/>
  </sheetViews>
  <sheetFormatPr defaultColWidth="8.375" defaultRowHeight="14.25"/>
  <cols>
    <col min="1" max="5" width="8.375" customWidth="1"/>
  </cols>
  <sheetData>
    <row r="1" spans="2:5" ht="13.5" customHeight="1"/>
    <row r="2" spans="2:5" ht="13.5" customHeight="1"/>
    <row r="3" spans="2:5" ht="13.5" customHeight="1">
      <c r="B3" s="214" t="s">
        <v>585</v>
      </c>
      <c r="C3" s="139"/>
      <c r="D3" s="139"/>
      <c r="E3" s="139"/>
    </row>
    <row r="4" spans="2:5" ht="13.5" customHeight="1">
      <c r="B4" s="59" t="s">
        <v>586</v>
      </c>
    </row>
    <row r="5" spans="2:5" ht="13.5" customHeight="1">
      <c r="B5" s="218" t="s">
        <v>587</v>
      </c>
      <c r="C5" s="139"/>
      <c r="D5" s="139"/>
      <c r="E5" s="54" t="s">
        <v>300</v>
      </c>
    </row>
    <row r="6" spans="2:5" ht="13.5" customHeight="1">
      <c r="B6" s="56">
        <v>0</v>
      </c>
      <c r="C6" s="56" t="s">
        <v>282</v>
      </c>
      <c r="D6" s="56">
        <v>10000</v>
      </c>
      <c r="E6" s="56">
        <v>0</v>
      </c>
    </row>
    <row r="7" spans="2:5" ht="13.5" customHeight="1">
      <c r="B7" s="56">
        <v>10001</v>
      </c>
      <c r="C7" s="56" t="s">
        <v>282</v>
      </c>
      <c r="D7" s="56">
        <v>30000</v>
      </c>
      <c r="E7" s="56">
        <v>1</v>
      </c>
    </row>
    <row r="8" spans="2:5" ht="13.5" customHeight="1">
      <c r="B8" s="56">
        <v>30001</v>
      </c>
      <c r="C8" s="56" t="s">
        <v>282</v>
      </c>
      <c r="D8" s="56">
        <v>45000</v>
      </c>
      <c r="E8" s="56">
        <v>2</v>
      </c>
    </row>
    <row r="9" spans="2:5" ht="13.5" customHeight="1">
      <c r="B9" s="56">
        <v>45001</v>
      </c>
      <c r="C9" s="56" t="s">
        <v>282</v>
      </c>
      <c r="D9" s="56">
        <v>60000</v>
      </c>
      <c r="E9" s="56">
        <v>3</v>
      </c>
    </row>
    <row r="10" spans="2:5" ht="13.5" customHeight="1">
      <c r="B10" s="56">
        <v>60001</v>
      </c>
      <c r="C10" s="56" t="s">
        <v>282</v>
      </c>
      <c r="D10" s="56">
        <v>75000</v>
      </c>
      <c r="E10" s="56">
        <v>4</v>
      </c>
    </row>
    <row r="11" spans="2:5" ht="13.5" customHeight="1">
      <c r="B11" s="56">
        <v>75001</v>
      </c>
      <c r="C11" s="56" t="s">
        <v>282</v>
      </c>
      <c r="D11" s="56">
        <v>90000</v>
      </c>
      <c r="E11" s="56">
        <v>5</v>
      </c>
    </row>
  </sheetData>
  <sheetProtection sheet="1" objects="1" scenarios="1"/>
  <mergeCells count="2">
    <mergeCell ref="B3:E3"/>
    <mergeCell ref="B5:D5"/>
  </mergeCells>
  <phoneticPr fontId="155"/>
  <printOptions horizontalCentered="1"/>
  <pageMargins left="0.27777777777777779" right="0.27777777777777779" top="0.34722222222222221" bottom="0.34722222222222221" header="0.3" footer="0.3"/>
  <pageSetup paperSize="9" orientation="portrait" r:id="rId1"/>
  <headerFooter>
    <oddFooter>&amp;C推定補完版 v1 / 推定値は要照合&amp;R&amp;P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68B00"/>
    <pageSetUpPr fitToPage="1"/>
  </sheetPr>
  <dimension ref="A1:AA1123"/>
  <sheetViews>
    <sheetView zoomScale="115" zoomScaleNormal="115" workbookViewId="0">
      <pane ySplit="3" topLeftCell="A4" activePane="bottomLeft" state="frozenSplit"/>
      <selection pane="bottomLeft"/>
    </sheetView>
  </sheetViews>
  <sheetFormatPr defaultColWidth="8.375" defaultRowHeight="14.25"/>
  <cols>
    <col min="1" max="1" width="9.5" customWidth="1"/>
    <col min="2" max="2" width="19.375" customWidth="1"/>
    <col min="3" max="3" width="8.375" customWidth="1"/>
    <col min="4" max="4" width="5.5" customWidth="1"/>
    <col min="5" max="5" width="8.375" customWidth="1"/>
    <col min="6" max="6" width="12.75" customWidth="1"/>
    <col min="7" max="7" width="3.5" customWidth="1"/>
    <col min="8" max="8" width="14" customWidth="1"/>
    <col min="9" max="9" width="20.5" customWidth="1"/>
    <col min="10" max="10" width="9.5" customWidth="1"/>
    <col min="11" max="11" width="8.125" customWidth="1"/>
    <col min="12" max="12" width="15.625" customWidth="1"/>
    <col min="13" max="13" width="19.375" customWidth="1"/>
    <col min="14" max="14" width="8.375" customWidth="1"/>
    <col min="15" max="15" width="18.625" customWidth="1"/>
    <col min="16" max="16" width="8.375" customWidth="1"/>
    <col min="17" max="17" width="11.75" customWidth="1"/>
    <col min="18" max="18" width="8.375" customWidth="1"/>
    <col min="20" max="20" width="10.625" customWidth="1"/>
    <col min="21" max="21" width="31.625" customWidth="1"/>
    <col min="22" max="24" width="24.625" customWidth="1"/>
    <col min="25" max="27" width="16.625" customWidth="1"/>
  </cols>
  <sheetData>
    <row r="1" spans="1:27" ht="13.5" customHeight="1"/>
    <row r="2" spans="1:27" ht="14.25" customHeight="1">
      <c r="B2" s="231" t="s">
        <v>588</v>
      </c>
      <c r="C2" s="139"/>
      <c r="D2" s="139"/>
      <c r="E2" s="139"/>
      <c r="F2" s="139"/>
      <c r="G2" s="139"/>
      <c r="H2" s="139"/>
    </row>
    <row r="3" spans="1:27" ht="27.75" customHeight="1">
      <c r="B3" s="84" t="s">
        <v>589</v>
      </c>
      <c r="C3" s="85" t="s">
        <v>590</v>
      </c>
      <c r="D3" s="86" t="s">
        <v>217</v>
      </c>
      <c r="E3" s="87" t="s">
        <v>591</v>
      </c>
      <c r="F3" s="88" t="s">
        <v>592</v>
      </c>
      <c r="I3" s="89" t="s">
        <v>593</v>
      </c>
      <c r="J3" s="90" t="s">
        <v>594</v>
      </c>
      <c r="L3" s="77" t="s">
        <v>657</v>
      </c>
      <c r="O3" s="77" t="s">
        <v>658</v>
      </c>
      <c r="P3" s="59" t="s">
        <v>595</v>
      </c>
      <c r="T3" s="121" t="s">
        <v>1101</v>
      </c>
      <c r="U3" s="121" t="s">
        <v>1102</v>
      </c>
      <c r="V3" s="121" t="s">
        <v>1103</v>
      </c>
      <c r="W3" s="121" t="s">
        <v>1104</v>
      </c>
      <c r="X3" s="121" t="s">
        <v>1105</v>
      </c>
      <c r="Y3" s="121" t="s">
        <v>1106</v>
      </c>
      <c r="Z3" s="121" t="s">
        <v>302</v>
      </c>
      <c r="AA3" s="121" t="s">
        <v>1107</v>
      </c>
    </row>
    <row r="4" spans="1:27" ht="13.5" customHeight="1">
      <c r="A4" s="91">
        <v>10100000</v>
      </c>
      <c r="B4" s="92" t="s">
        <v>1108</v>
      </c>
      <c r="C4" s="93" t="s">
        <v>258</v>
      </c>
      <c r="D4" s="94">
        <v>800</v>
      </c>
      <c r="E4" s="94" t="s">
        <v>596</v>
      </c>
      <c r="F4" s="95">
        <v>0</v>
      </c>
      <c r="G4" s="95" t="s">
        <v>282</v>
      </c>
      <c r="H4" s="95">
        <v>2640</v>
      </c>
      <c r="I4" s="95" t="s">
        <v>597</v>
      </c>
      <c r="J4" s="96">
        <v>0</v>
      </c>
      <c r="K4" s="97">
        <v>101</v>
      </c>
      <c r="L4" s="79" t="s">
        <v>659</v>
      </c>
      <c r="M4" s="14" t="s">
        <v>1109</v>
      </c>
      <c r="N4" s="51">
        <v>101</v>
      </c>
      <c r="O4" s="79" t="s">
        <v>660</v>
      </c>
      <c r="P4" s="232" t="s">
        <v>598</v>
      </c>
      <c r="Q4" s="98" t="s">
        <v>305</v>
      </c>
      <c r="R4" s="98">
        <v>400</v>
      </c>
      <c r="T4" s="118">
        <v>101</v>
      </c>
      <c r="U4" s="118" t="s">
        <v>1110</v>
      </c>
      <c r="V4" s="122"/>
      <c r="W4" s="122"/>
      <c r="X4" s="122"/>
      <c r="Y4" s="123"/>
      <c r="Z4" s="122" t="s">
        <v>659</v>
      </c>
      <c r="AA4" s="118">
        <f t="shared" ref="AA4:AA23" si="0">IF(AND(V4&lt;&gt;"",W4&lt;&gt;"",X4&lt;&gt;"",COUNT(Y4)=1,Y4&gt;0,Z4="確認済"),1,0)</f>
        <v>0</v>
      </c>
    </row>
    <row r="5" spans="1:27" ht="13.5" customHeight="1">
      <c r="A5" s="91">
        <v>10102641</v>
      </c>
      <c r="B5" s="99" t="s">
        <v>1111</v>
      </c>
      <c r="C5" s="100" t="s">
        <v>258</v>
      </c>
      <c r="D5" s="60">
        <v>800</v>
      </c>
      <c r="E5" s="56" t="s">
        <v>596</v>
      </c>
      <c r="F5" s="60">
        <v>2641</v>
      </c>
      <c r="G5" s="60" t="s">
        <v>282</v>
      </c>
      <c r="H5" s="60">
        <v>2715</v>
      </c>
      <c r="I5" s="60" t="s">
        <v>599</v>
      </c>
      <c r="J5" s="101">
        <v>0</v>
      </c>
      <c r="K5" s="97">
        <v>101</v>
      </c>
      <c r="L5" s="79" t="s">
        <v>659</v>
      </c>
      <c r="M5" s="14" t="s">
        <v>1112</v>
      </c>
      <c r="N5" s="51">
        <v>102</v>
      </c>
      <c r="O5" s="79" t="s">
        <v>660</v>
      </c>
      <c r="P5" s="139"/>
      <c r="Q5" s="98" t="s">
        <v>306</v>
      </c>
      <c r="R5" s="98">
        <v>475</v>
      </c>
      <c r="T5" s="118">
        <v>102</v>
      </c>
      <c r="U5" s="118" t="s">
        <v>1113</v>
      </c>
      <c r="V5" s="122"/>
      <c r="W5" s="122"/>
      <c r="X5" s="122"/>
      <c r="Y5" s="123"/>
      <c r="Z5" s="122" t="s">
        <v>659</v>
      </c>
      <c r="AA5" s="118">
        <f t="shared" si="0"/>
        <v>0</v>
      </c>
    </row>
    <row r="6" spans="1:27" ht="13.5" customHeight="1">
      <c r="A6" s="91">
        <v>10102716</v>
      </c>
      <c r="B6" s="99" t="s">
        <v>1114</v>
      </c>
      <c r="C6" s="100" t="s">
        <v>258</v>
      </c>
      <c r="D6" s="60">
        <v>800</v>
      </c>
      <c r="E6" s="56" t="s">
        <v>596</v>
      </c>
      <c r="F6" s="60">
        <v>2716</v>
      </c>
      <c r="G6" s="60" t="s">
        <v>282</v>
      </c>
      <c r="H6" s="60">
        <v>2765</v>
      </c>
      <c r="I6" s="60" t="s">
        <v>600</v>
      </c>
      <c r="J6" s="101">
        <v>0</v>
      </c>
      <c r="K6" s="97">
        <v>101</v>
      </c>
      <c r="L6" s="79" t="s">
        <v>659</v>
      </c>
      <c r="M6" s="14" t="s">
        <v>1115</v>
      </c>
      <c r="N6" s="51">
        <v>103</v>
      </c>
      <c r="O6" s="79" t="s">
        <v>660</v>
      </c>
      <c r="P6" s="139"/>
      <c r="Q6" s="98" t="s">
        <v>601</v>
      </c>
      <c r="R6" s="98">
        <v>1225</v>
      </c>
      <c r="T6" s="118">
        <v>103</v>
      </c>
      <c r="U6" s="118" t="s">
        <v>1116</v>
      </c>
      <c r="V6" s="122"/>
      <c r="W6" s="122"/>
      <c r="X6" s="122"/>
      <c r="Y6" s="123"/>
      <c r="Z6" s="122" t="s">
        <v>659</v>
      </c>
      <c r="AA6" s="118">
        <f t="shared" si="0"/>
        <v>0</v>
      </c>
    </row>
    <row r="7" spans="1:27" ht="13.5" customHeight="1">
      <c r="A7" s="91">
        <v>10102766</v>
      </c>
      <c r="B7" s="99" t="s">
        <v>1117</v>
      </c>
      <c r="C7" s="100" t="s">
        <v>258</v>
      </c>
      <c r="D7" s="60">
        <v>800</v>
      </c>
      <c r="E7" s="56" t="s">
        <v>596</v>
      </c>
      <c r="F7" s="60">
        <v>2766</v>
      </c>
      <c r="G7" s="60" t="s">
        <v>282</v>
      </c>
      <c r="H7" s="60">
        <v>2865</v>
      </c>
      <c r="I7" s="60" t="s">
        <v>602</v>
      </c>
      <c r="J7" s="101">
        <v>0</v>
      </c>
      <c r="K7" s="97">
        <v>101</v>
      </c>
      <c r="L7" s="79" t="s">
        <v>659</v>
      </c>
      <c r="M7" s="14" t="s">
        <v>1118</v>
      </c>
      <c r="N7" s="51">
        <v>104</v>
      </c>
      <c r="O7" s="79" t="s">
        <v>660</v>
      </c>
      <c r="T7" s="118">
        <v>104</v>
      </c>
      <c r="U7" s="118" t="s">
        <v>1119</v>
      </c>
      <c r="V7" s="122"/>
      <c r="W7" s="122"/>
      <c r="X7" s="122"/>
      <c r="Y7" s="123"/>
      <c r="Z7" s="122" t="s">
        <v>659</v>
      </c>
      <c r="AA7" s="118">
        <f t="shared" si="0"/>
        <v>0</v>
      </c>
    </row>
    <row r="8" spans="1:27" ht="13.5" customHeight="1">
      <c r="A8" s="91">
        <v>10102866</v>
      </c>
      <c r="B8" s="99" t="s">
        <v>1120</v>
      </c>
      <c r="C8" s="100" t="s">
        <v>258</v>
      </c>
      <c r="D8" s="60">
        <v>800</v>
      </c>
      <c r="E8" s="56" t="s">
        <v>596</v>
      </c>
      <c r="F8" s="60">
        <v>2866</v>
      </c>
      <c r="G8" s="60" t="s">
        <v>282</v>
      </c>
      <c r="H8" s="60">
        <v>2965</v>
      </c>
      <c r="I8" s="60" t="s">
        <v>603</v>
      </c>
      <c r="J8" s="101">
        <v>0</v>
      </c>
      <c r="K8" s="97">
        <v>101</v>
      </c>
      <c r="L8" s="79" t="s">
        <v>659</v>
      </c>
      <c r="M8" s="14" t="s">
        <v>1121</v>
      </c>
      <c r="N8" s="51">
        <v>105</v>
      </c>
      <c r="O8" s="79" t="s">
        <v>660</v>
      </c>
      <c r="T8" s="118">
        <v>105</v>
      </c>
      <c r="U8" s="118" t="s">
        <v>1122</v>
      </c>
      <c r="V8" s="122"/>
      <c r="W8" s="122"/>
      <c r="X8" s="122"/>
      <c r="Y8" s="123"/>
      <c r="Z8" s="122" t="s">
        <v>659</v>
      </c>
      <c r="AA8" s="118">
        <f t="shared" si="0"/>
        <v>0</v>
      </c>
    </row>
    <row r="9" spans="1:27" ht="13.5" customHeight="1">
      <c r="A9" s="91">
        <v>10102966</v>
      </c>
      <c r="B9" s="99" t="s">
        <v>1123</v>
      </c>
      <c r="C9" s="100" t="s">
        <v>258</v>
      </c>
      <c r="D9" s="60">
        <v>800</v>
      </c>
      <c r="E9" s="56" t="s">
        <v>596</v>
      </c>
      <c r="F9" s="60">
        <v>2966</v>
      </c>
      <c r="G9" s="60" t="s">
        <v>282</v>
      </c>
      <c r="H9" s="60">
        <v>3065</v>
      </c>
      <c r="I9" s="60" t="s">
        <v>604</v>
      </c>
      <c r="J9" s="101">
        <v>0</v>
      </c>
      <c r="K9" s="97">
        <v>101</v>
      </c>
      <c r="L9" s="79" t="s">
        <v>659</v>
      </c>
      <c r="M9" s="14" t="s">
        <v>1124</v>
      </c>
      <c r="N9" s="51">
        <v>106</v>
      </c>
      <c r="O9" s="79" t="s">
        <v>660</v>
      </c>
      <c r="T9" s="118">
        <v>106</v>
      </c>
      <c r="U9" s="118" t="s">
        <v>1125</v>
      </c>
      <c r="V9" s="122"/>
      <c r="W9" s="122"/>
      <c r="X9" s="122"/>
      <c r="Y9" s="123"/>
      <c r="Z9" s="122" t="s">
        <v>659</v>
      </c>
      <c r="AA9" s="118">
        <f t="shared" si="0"/>
        <v>0</v>
      </c>
    </row>
    <row r="10" spans="1:27" ht="13.5" customHeight="1">
      <c r="A10" s="91">
        <v>10103066</v>
      </c>
      <c r="B10" s="99" t="s">
        <v>1126</v>
      </c>
      <c r="C10" s="100" t="s">
        <v>258</v>
      </c>
      <c r="D10" s="60">
        <v>800</v>
      </c>
      <c r="E10" s="56" t="s">
        <v>596</v>
      </c>
      <c r="F10" s="60">
        <v>3066</v>
      </c>
      <c r="G10" s="60" t="s">
        <v>282</v>
      </c>
      <c r="H10" s="60">
        <v>3165</v>
      </c>
      <c r="I10" s="60" t="s">
        <v>605</v>
      </c>
      <c r="J10" s="101">
        <v>0</v>
      </c>
      <c r="K10" s="97">
        <v>101</v>
      </c>
      <c r="L10" s="79" t="s">
        <v>659</v>
      </c>
      <c r="M10" s="14" t="s">
        <v>1127</v>
      </c>
      <c r="N10" s="51">
        <v>107</v>
      </c>
      <c r="O10" s="79" t="s">
        <v>660</v>
      </c>
      <c r="T10" s="118">
        <v>107</v>
      </c>
      <c r="U10" s="118" t="s">
        <v>1128</v>
      </c>
      <c r="V10" s="122"/>
      <c r="W10" s="122"/>
      <c r="X10" s="122"/>
      <c r="Y10" s="123"/>
      <c r="Z10" s="122" t="s">
        <v>659</v>
      </c>
      <c r="AA10" s="118">
        <f t="shared" si="0"/>
        <v>0</v>
      </c>
    </row>
    <row r="11" spans="1:27" ht="13.5" customHeight="1">
      <c r="A11" s="91">
        <v>10103166</v>
      </c>
      <c r="B11" s="99" t="s">
        <v>1129</v>
      </c>
      <c r="C11" s="100" t="s">
        <v>258</v>
      </c>
      <c r="D11" s="60">
        <v>800</v>
      </c>
      <c r="E11" s="56" t="s">
        <v>596</v>
      </c>
      <c r="F11" s="60">
        <v>3166</v>
      </c>
      <c r="G11" s="60" t="s">
        <v>282</v>
      </c>
      <c r="H11" s="60">
        <v>3265</v>
      </c>
      <c r="I11" s="60" t="s">
        <v>606</v>
      </c>
      <c r="J11" s="101">
        <v>0</v>
      </c>
      <c r="K11" s="97">
        <v>101</v>
      </c>
      <c r="L11" s="79" t="s">
        <v>659</v>
      </c>
      <c r="M11" s="14" t="s">
        <v>1130</v>
      </c>
      <c r="N11" s="51">
        <v>108</v>
      </c>
      <c r="O11" s="79" t="s">
        <v>660</v>
      </c>
      <c r="T11" s="118">
        <v>108</v>
      </c>
      <c r="U11" s="118" t="s">
        <v>1131</v>
      </c>
      <c r="V11" s="122"/>
      <c r="W11" s="122"/>
      <c r="X11" s="122"/>
      <c r="Y11" s="123"/>
      <c r="Z11" s="122" t="s">
        <v>659</v>
      </c>
      <c r="AA11" s="118">
        <f t="shared" si="0"/>
        <v>0</v>
      </c>
    </row>
    <row r="12" spans="1:27" ht="13.5" customHeight="1">
      <c r="A12" s="91">
        <v>10103266</v>
      </c>
      <c r="B12" s="99" t="s">
        <v>1132</v>
      </c>
      <c r="C12" s="100" t="s">
        <v>258</v>
      </c>
      <c r="D12" s="60">
        <v>800</v>
      </c>
      <c r="E12" s="56" t="s">
        <v>596</v>
      </c>
      <c r="F12" s="60">
        <v>3266</v>
      </c>
      <c r="G12" s="60" t="s">
        <v>282</v>
      </c>
      <c r="H12" s="60">
        <v>3365</v>
      </c>
      <c r="I12" s="60" t="s">
        <v>607</v>
      </c>
      <c r="J12" s="101">
        <v>0</v>
      </c>
      <c r="K12" s="97">
        <v>101</v>
      </c>
      <c r="L12" s="79" t="s">
        <v>659</v>
      </c>
      <c r="M12" s="14" t="s">
        <v>1133</v>
      </c>
      <c r="N12" s="51">
        <v>109</v>
      </c>
      <c r="O12" s="79" t="s">
        <v>661</v>
      </c>
      <c r="T12" s="118">
        <v>109</v>
      </c>
      <c r="U12" s="118" t="s">
        <v>1134</v>
      </c>
      <c r="V12" s="122"/>
      <c r="W12" s="122"/>
      <c r="X12" s="122"/>
      <c r="Y12" s="123"/>
      <c r="Z12" s="122" t="s">
        <v>1135</v>
      </c>
      <c r="AA12" s="118">
        <f t="shared" si="0"/>
        <v>0</v>
      </c>
    </row>
    <row r="13" spans="1:27" ht="13.5" customHeight="1">
      <c r="A13" s="91">
        <v>10103366</v>
      </c>
      <c r="B13" s="99" t="s">
        <v>1136</v>
      </c>
      <c r="C13" s="100" t="s">
        <v>258</v>
      </c>
      <c r="D13" s="60">
        <v>800</v>
      </c>
      <c r="E13" s="56" t="s">
        <v>596</v>
      </c>
      <c r="F13" s="60">
        <v>3366</v>
      </c>
      <c r="G13" s="60" t="s">
        <v>282</v>
      </c>
      <c r="H13" s="60">
        <v>3465</v>
      </c>
      <c r="I13" s="60" t="s">
        <v>608</v>
      </c>
      <c r="J13" s="101">
        <v>0</v>
      </c>
      <c r="K13" s="97">
        <v>101</v>
      </c>
      <c r="L13" s="79" t="s">
        <v>659</v>
      </c>
      <c r="M13" s="14" t="s">
        <v>1137</v>
      </c>
      <c r="N13" s="51">
        <v>110</v>
      </c>
      <c r="O13" s="79" t="s">
        <v>662</v>
      </c>
      <c r="T13" s="118">
        <v>110</v>
      </c>
      <c r="U13" s="118" t="s">
        <v>1138</v>
      </c>
      <c r="V13" s="122"/>
      <c r="W13" s="122"/>
      <c r="X13" s="122"/>
      <c r="Y13" s="123"/>
      <c r="Z13" s="122" t="s">
        <v>1135</v>
      </c>
      <c r="AA13" s="118">
        <f t="shared" si="0"/>
        <v>0</v>
      </c>
    </row>
    <row r="14" spans="1:27" ht="13.5" customHeight="1">
      <c r="A14" s="91">
        <v>10103466</v>
      </c>
      <c r="B14" s="99" t="s">
        <v>1139</v>
      </c>
      <c r="C14" s="100" t="s">
        <v>258</v>
      </c>
      <c r="D14" s="60">
        <v>800</v>
      </c>
      <c r="E14" s="56" t="s">
        <v>596</v>
      </c>
      <c r="F14" s="60">
        <v>3466</v>
      </c>
      <c r="G14" s="60" t="s">
        <v>282</v>
      </c>
      <c r="H14" s="60">
        <v>3565</v>
      </c>
      <c r="I14" s="60" t="s">
        <v>609</v>
      </c>
      <c r="J14" s="101">
        <v>0</v>
      </c>
      <c r="K14" s="97">
        <v>101</v>
      </c>
      <c r="L14" s="79" t="s">
        <v>659</v>
      </c>
      <c r="M14" s="14" t="s">
        <v>1140</v>
      </c>
      <c r="N14" s="51">
        <v>111</v>
      </c>
      <c r="O14" s="79" t="s">
        <v>662</v>
      </c>
      <c r="T14" s="118">
        <v>111</v>
      </c>
      <c r="U14" s="118" t="s">
        <v>1141</v>
      </c>
      <c r="V14" s="122"/>
      <c r="W14" s="122"/>
      <c r="X14" s="122"/>
      <c r="Y14" s="123"/>
      <c r="Z14" s="122" t="s">
        <v>1135</v>
      </c>
      <c r="AA14" s="118">
        <f t="shared" si="0"/>
        <v>0</v>
      </c>
    </row>
    <row r="15" spans="1:27" ht="13.5" customHeight="1">
      <c r="A15" s="91">
        <v>10103566</v>
      </c>
      <c r="B15" s="99" t="s">
        <v>1142</v>
      </c>
      <c r="C15" s="100" t="s">
        <v>258</v>
      </c>
      <c r="D15" s="60">
        <v>800</v>
      </c>
      <c r="E15" s="56" t="s">
        <v>596</v>
      </c>
      <c r="F15" s="60">
        <v>3566</v>
      </c>
      <c r="G15" s="60" t="s">
        <v>282</v>
      </c>
      <c r="H15" s="60">
        <v>3665</v>
      </c>
      <c r="I15" s="60" t="s">
        <v>610</v>
      </c>
      <c r="J15" s="101">
        <v>0</v>
      </c>
      <c r="K15" s="97">
        <v>101</v>
      </c>
      <c r="L15" s="79" t="s">
        <v>659</v>
      </c>
      <c r="M15" s="14" t="s">
        <v>1143</v>
      </c>
      <c r="N15" s="51">
        <v>112</v>
      </c>
      <c r="O15" s="79" t="s">
        <v>662</v>
      </c>
      <c r="T15" s="118">
        <v>112</v>
      </c>
      <c r="U15" s="118" t="s">
        <v>1144</v>
      </c>
      <c r="V15" s="122"/>
      <c r="W15" s="122"/>
      <c r="X15" s="122"/>
      <c r="Y15" s="123"/>
      <c r="Z15" s="122" t="s">
        <v>1135</v>
      </c>
      <c r="AA15" s="118">
        <f t="shared" si="0"/>
        <v>0</v>
      </c>
    </row>
    <row r="16" spans="1:27" ht="13.5" customHeight="1">
      <c r="A16" s="91">
        <v>10103666</v>
      </c>
      <c r="B16" s="99" t="s">
        <v>1145</v>
      </c>
      <c r="C16" s="100" t="s">
        <v>258</v>
      </c>
      <c r="D16" s="60">
        <v>800</v>
      </c>
      <c r="E16" s="56" t="s">
        <v>596</v>
      </c>
      <c r="F16" s="60">
        <v>3666</v>
      </c>
      <c r="G16" s="60" t="s">
        <v>282</v>
      </c>
      <c r="H16" s="60">
        <v>3765</v>
      </c>
      <c r="I16" s="60" t="s">
        <v>611</v>
      </c>
      <c r="J16" s="101">
        <v>1</v>
      </c>
      <c r="K16" s="97">
        <v>101</v>
      </c>
      <c r="L16" s="79" t="s">
        <v>659</v>
      </c>
      <c r="M16" s="14" t="s">
        <v>1146</v>
      </c>
      <c r="N16" s="51">
        <v>113</v>
      </c>
      <c r="O16" s="79" t="s">
        <v>662</v>
      </c>
      <c r="T16" s="118">
        <v>113</v>
      </c>
      <c r="U16" s="118" t="s">
        <v>1147</v>
      </c>
      <c r="V16" s="122"/>
      <c r="W16" s="122"/>
      <c r="X16" s="122"/>
      <c r="Y16" s="123"/>
      <c r="Z16" s="122" t="s">
        <v>1135</v>
      </c>
      <c r="AA16" s="118">
        <f t="shared" si="0"/>
        <v>0</v>
      </c>
    </row>
    <row r="17" spans="1:27" ht="13.5" customHeight="1">
      <c r="A17" s="91">
        <v>10103766</v>
      </c>
      <c r="B17" s="99" t="s">
        <v>1148</v>
      </c>
      <c r="C17" s="100" t="s">
        <v>258</v>
      </c>
      <c r="D17" s="60">
        <v>800</v>
      </c>
      <c r="E17" s="56" t="s">
        <v>596</v>
      </c>
      <c r="F17" s="60">
        <v>3766</v>
      </c>
      <c r="G17" s="60" t="s">
        <v>282</v>
      </c>
      <c r="H17" s="60">
        <v>3865</v>
      </c>
      <c r="I17" s="60" t="s">
        <v>612</v>
      </c>
      <c r="J17" s="101">
        <v>1</v>
      </c>
      <c r="K17" s="97">
        <v>101</v>
      </c>
      <c r="L17" s="79" t="s">
        <v>659</v>
      </c>
      <c r="M17" s="14" t="s">
        <v>1149</v>
      </c>
      <c r="N17" s="51">
        <v>114</v>
      </c>
      <c r="O17" s="79" t="s">
        <v>662</v>
      </c>
      <c r="T17" s="118">
        <v>114</v>
      </c>
      <c r="U17" s="118" t="s">
        <v>1150</v>
      </c>
      <c r="V17" s="122"/>
      <c r="W17" s="122"/>
      <c r="X17" s="122"/>
      <c r="Y17" s="123"/>
      <c r="Z17" s="122" t="s">
        <v>1135</v>
      </c>
      <c r="AA17" s="118">
        <f t="shared" si="0"/>
        <v>0</v>
      </c>
    </row>
    <row r="18" spans="1:27" ht="13.5" customHeight="1">
      <c r="A18" s="91">
        <v>10103866</v>
      </c>
      <c r="B18" s="99" t="s">
        <v>1151</v>
      </c>
      <c r="C18" s="100" t="s">
        <v>258</v>
      </c>
      <c r="D18" s="60">
        <v>800</v>
      </c>
      <c r="E18" s="56" t="s">
        <v>596</v>
      </c>
      <c r="F18" s="60">
        <v>3866</v>
      </c>
      <c r="G18" s="60" t="s">
        <v>282</v>
      </c>
      <c r="H18" s="60">
        <v>3965</v>
      </c>
      <c r="I18" s="60" t="s">
        <v>613</v>
      </c>
      <c r="J18" s="101">
        <v>1</v>
      </c>
      <c r="K18" s="97">
        <v>101</v>
      </c>
      <c r="L18" s="79" t="s">
        <v>659</v>
      </c>
      <c r="M18" s="14" t="s">
        <v>1152</v>
      </c>
      <c r="N18" s="51">
        <v>115</v>
      </c>
      <c r="O18" s="79" t="s">
        <v>662</v>
      </c>
      <c r="T18" s="118">
        <v>115</v>
      </c>
      <c r="U18" s="118" t="s">
        <v>1153</v>
      </c>
      <c r="V18" s="122"/>
      <c r="W18" s="122"/>
      <c r="X18" s="122"/>
      <c r="Y18" s="123"/>
      <c r="Z18" s="122" t="s">
        <v>1135</v>
      </c>
      <c r="AA18" s="118">
        <f t="shared" si="0"/>
        <v>0</v>
      </c>
    </row>
    <row r="19" spans="1:27" ht="13.5" customHeight="1">
      <c r="A19" s="91">
        <v>10103966</v>
      </c>
      <c r="B19" s="99" t="s">
        <v>1154</v>
      </c>
      <c r="C19" s="100" t="s">
        <v>258</v>
      </c>
      <c r="D19" s="60">
        <v>800</v>
      </c>
      <c r="E19" s="56" t="s">
        <v>596</v>
      </c>
      <c r="F19" s="60">
        <v>3966</v>
      </c>
      <c r="G19" s="60" t="s">
        <v>282</v>
      </c>
      <c r="H19" s="60">
        <v>4065</v>
      </c>
      <c r="I19" s="60" t="s">
        <v>614</v>
      </c>
      <c r="J19" s="101">
        <v>1</v>
      </c>
      <c r="K19" s="97">
        <v>101</v>
      </c>
      <c r="L19" s="79" t="s">
        <v>659</v>
      </c>
      <c r="M19" s="14" t="s">
        <v>1155</v>
      </c>
      <c r="N19" s="51">
        <v>116</v>
      </c>
      <c r="O19" s="79" t="s">
        <v>662</v>
      </c>
      <c r="T19" s="118">
        <v>116</v>
      </c>
      <c r="U19" s="118" t="s">
        <v>1156</v>
      </c>
      <c r="V19" s="122"/>
      <c r="W19" s="122"/>
      <c r="X19" s="122"/>
      <c r="Y19" s="123"/>
      <c r="Z19" s="122" t="s">
        <v>1135</v>
      </c>
      <c r="AA19" s="118">
        <f t="shared" si="0"/>
        <v>0</v>
      </c>
    </row>
    <row r="20" spans="1:27" ht="13.5" customHeight="1">
      <c r="A20" s="91">
        <v>10104066</v>
      </c>
      <c r="B20" s="99" t="s">
        <v>1157</v>
      </c>
      <c r="C20" s="100" t="s">
        <v>258</v>
      </c>
      <c r="D20" s="60">
        <v>800</v>
      </c>
      <c r="E20" s="56" t="s">
        <v>596</v>
      </c>
      <c r="F20" s="60">
        <v>4066</v>
      </c>
      <c r="G20" s="60" t="s">
        <v>282</v>
      </c>
      <c r="H20" s="60">
        <v>4165</v>
      </c>
      <c r="I20" s="60" t="s">
        <v>615</v>
      </c>
      <c r="J20" s="101">
        <v>1</v>
      </c>
      <c r="K20" s="97">
        <v>101</v>
      </c>
      <c r="L20" s="79" t="s">
        <v>659</v>
      </c>
      <c r="M20" s="14" t="s">
        <v>1158</v>
      </c>
      <c r="N20" s="51">
        <v>117</v>
      </c>
      <c r="O20" s="79" t="s">
        <v>662</v>
      </c>
      <c r="T20" s="118">
        <v>117</v>
      </c>
      <c r="U20" s="118" t="s">
        <v>1159</v>
      </c>
      <c r="V20" s="122"/>
      <c r="W20" s="122"/>
      <c r="X20" s="122"/>
      <c r="Y20" s="123"/>
      <c r="Z20" s="122" t="s">
        <v>1135</v>
      </c>
      <c r="AA20" s="118">
        <f t="shared" si="0"/>
        <v>0</v>
      </c>
    </row>
    <row r="21" spans="1:27" ht="13.5" customHeight="1">
      <c r="A21" s="91">
        <v>10104166</v>
      </c>
      <c r="B21" s="99" t="s">
        <v>1160</v>
      </c>
      <c r="C21" s="100" t="s">
        <v>258</v>
      </c>
      <c r="D21" s="60">
        <v>800</v>
      </c>
      <c r="E21" s="56" t="s">
        <v>596</v>
      </c>
      <c r="F21" s="60">
        <v>4166</v>
      </c>
      <c r="G21" s="60" t="s">
        <v>282</v>
      </c>
      <c r="H21" s="60">
        <v>4265</v>
      </c>
      <c r="I21" s="60" t="s">
        <v>616</v>
      </c>
      <c r="J21" s="101">
        <v>1</v>
      </c>
      <c r="K21" s="97">
        <v>101</v>
      </c>
      <c r="L21" s="79" t="s">
        <v>659</v>
      </c>
      <c r="M21" s="14" t="s">
        <v>1161</v>
      </c>
      <c r="N21" s="51">
        <v>118</v>
      </c>
      <c r="O21" s="79" t="s">
        <v>662</v>
      </c>
      <c r="T21" s="118">
        <v>118</v>
      </c>
      <c r="U21" s="118" t="s">
        <v>1162</v>
      </c>
      <c r="V21" s="122"/>
      <c r="W21" s="122"/>
      <c r="X21" s="122"/>
      <c r="Y21" s="123"/>
      <c r="Z21" s="122" t="s">
        <v>1135</v>
      </c>
      <c r="AA21" s="118">
        <f t="shared" si="0"/>
        <v>0</v>
      </c>
    </row>
    <row r="22" spans="1:27" ht="13.5" customHeight="1">
      <c r="A22" s="91">
        <v>10104266</v>
      </c>
      <c r="B22" s="99" t="s">
        <v>1163</v>
      </c>
      <c r="C22" s="100" t="s">
        <v>258</v>
      </c>
      <c r="D22" s="60">
        <v>800</v>
      </c>
      <c r="E22" s="56" t="s">
        <v>596</v>
      </c>
      <c r="F22" s="60">
        <v>4266</v>
      </c>
      <c r="G22" s="60" t="s">
        <v>282</v>
      </c>
      <c r="H22" s="60">
        <v>4365</v>
      </c>
      <c r="I22" s="60" t="s">
        <v>617</v>
      </c>
      <c r="J22" s="101">
        <v>1</v>
      </c>
      <c r="K22" s="97">
        <v>101</v>
      </c>
      <c r="L22" s="79" t="s">
        <v>659</v>
      </c>
      <c r="M22" s="14" t="s">
        <v>1164</v>
      </c>
      <c r="N22" s="51">
        <v>119</v>
      </c>
      <c r="O22" s="79" t="s">
        <v>662</v>
      </c>
      <c r="T22" s="118">
        <v>119</v>
      </c>
      <c r="U22" s="118" t="s">
        <v>1165</v>
      </c>
      <c r="V22" s="122"/>
      <c r="W22" s="122"/>
      <c r="X22" s="122"/>
      <c r="Y22" s="123"/>
      <c r="Z22" s="122" t="s">
        <v>1135</v>
      </c>
      <c r="AA22" s="118">
        <f t="shared" si="0"/>
        <v>0</v>
      </c>
    </row>
    <row r="23" spans="1:27" ht="13.5" customHeight="1">
      <c r="A23" s="91">
        <v>10104366</v>
      </c>
      <c r="B23" s="99" t="s">
        <v>1166</v>
      </c>
      <c r="C23" s="100" t="s">
        <v>258</v>
      </c>
      <c r="D23" s="60">
        <v>800</v>
      </c>
      <c r="E23" s="56" t="s">
        <v>596</v>
      </c>
      <c r="F23" s="60">
        <v>4366</v>
      </c>
      <c r="G23" s="60" t="s">
        <v>282</v>
      </c>
      <c r="H23" s="60">
        <v>4465</v>
      </c>
      <c r="I23" s="60" t="s">
        <v>618</v>
      </c>
      <c r="J23" s="101">
        <v>1</v>
      </c>
      <c r="K23" s="97">
        <v>101</v>
      </c>
      <c r="L23" s="79" t="s">
        <v>659</v>
      </c>
      <c r="M23" s="14" t="s">
        <v>1167</v>
      </c>
      <c r="N23" s="51">
        <v>120</v>
      </c>
      <c r="O23" s="79" t="s">
        <v>662</v>
      </c>
      <c r="T23" s="118">
        <v>120</v>
      </c>
      <c r="U23" s="118" t="s">
        <v>1168</v>
      </c>
      <c r="V23" s="122"/>
      <c r="W23" s="122"/>
      <c r="X23" s="122"/>
      <c r="Y23" s="123"/>
      <c r="Z23" s="122" t="s">
        <v>1135</v>
      </c>
      <c r="AA23" s="118">
        <f t="shared" si="0"/>
        <v>0</v>
      </c>
    </row>
    <row r="24" spans="1:27" ht="13.5" customHeight="1">
      <c r="A24" s="91">
        <v>10104466</v>
      </c>
      <c r="B24" s="99" t="s">
        <v>1169</v>
      </c>
      <c r="C24" s="100" t="s">
        <v>258</v>
      </c>
      <c r="D24" s="60">
        <v>800</v>
      </c>
      <c r="E24" s="56" t="s">
        <v>596</v>
      </c>
      <c r="F24" s="60">
        <v>4466</v>
      </c>
      <c r="G24" s="60" t="s">
        <v>282</v>
      </c>
      <c r="H24" s="60">
        <v>4565</v>
      </c>
      <c r="I24" s="60" t="s">
        <v>619</v>
      </c>
      <c r="J24" s="101">
        <v>2</v>
      </c>
      <c r="K24" s="97">
        <v>101</v>
      </c>
      <c r="L24" s="79" t="s">
        <v>659</v>
      </c>
    </row>
    <row r="25" spans="1:27" ht="13.5" customHeight="1">
      <c r="A25" s="91">
        <v>10104566</v>
      </c>
      <c r="B25" s="99" t="s">
        <v>1170</v>
      </c>
      <c r="C25" s="100" t="s">
        <v>258</v>
      </c>
      <c r="D25" s="60">
        <v>800</v>
      </c>
      <c r="E25" s="56" t="s">
        <v>596</v>
      </c>
      <c r="F25" s="60">
        <v>4566</v>
      </c>
      <c r="G25" s="60" t="s">
        <v>282</v>
      </c>
      <c r="H25" s="60">
        <v>4665</v>
      </c>
      <c r="I25" s="60" t="s">
        <v>620</v>
      </c>
      <c r="J25" s="101">
        <v>2</v>
      </c>
      <c r="K25" s="97">
        <v>101</v>
      </c>
      <c r="L25" s="79" t="s">
        <v>659</v>
      </c>
    </row>
    <row r="26" spans="1:27" ht="13.5" customHeight="1">
      <c r="A26" s="91">
        <v>10104666</v>
      </c>
      <c r="B26" s="99" t="s">
        <v>1171</v>
      </c>
      <c r="C26" s="100" t="s">
        <v>258</v>
      </c>
      <c r="D26" s="60">
        <v>800</v>
      </c>
      <c r="E26" s="56" t="s">
        <v>596</v>
      </c>
      <c r="F26" s="60">
        <v>4666</v>
      </c>
      <c r="G26" s="60" t="s">
        <v>282</v>
      </c>
      <c r="H26" s="60">
        <v>4765</v>
      </c>
      <c r="I26" s="60" t="s">
        <v>621</v>
      </c>
      <c r="J26" s="101">
        <v>2</v>
      </c>
      <c r="K26" s="97">
        <v>101</v>
      </c>
      <c r="L26" s="79" t="s">
        <v>659</v>
      </c>
    </row>
    <row r="27" spans="1:27" ht="13.5" customHeight="1">
      <c r="A27" s="91">
        <v>10104766</v>
      </c>
      <c r="B27" s="99" t="s">
        <v>1172</v>
      </c>
      <c r="C27" s="100" t="s">
        <v>258</v>
      </c>
      <c r="D27" s="60">
        <v>800</v>
      </c>
      <c r="E27" s="56" t="s">
        <v>596</v>
      </c>
      <c r="F27" s="60">
        <v>4766</v>
      </c>
      <c r="G27" s="60" t="s">
        <v>282</v>
      </c>
      <c r="H27" s="60">
        <v>4865</v>
      </c>
      <c r="I27" s="60" t="s">
        <v>622</v>
      </c>
      <c r="J27" s="101">
        <v>2</v>
      </c>
      <c r="K27" s="97">
        <v>101</v>
      </c>
      <c r="L27" s="79" t="s">
        <v>659</v>
      </c>
    </row>
    <row r="28" spans="1:27" ht="13.5" customHeight="1">
      <c r="A28" s="91">
        <v>10104866</v>
      </c>
      <c r="B28" s="99" t="s">
        <v>1173</v>
      </c>
      <c r="C28" s="100" t="s">
        <v>258</v>
      </c>
      <c r="D28" s="60">
        <v>800</v>
      </c>
      <c r="E28" s="56" t="s">
        <v>596</v>
      </c>
      <c r="F28" s="60">
        <v>4866</v>
      </c>
      <c r="G28" s="60" t="s">
        <v>282</v>
      </c>
      <c r="H28" s="60">
        <v>4965</v>
      </c>
      <c r="I28" s="60" t="s">
        <v>623</v>
      </c>
      <c r="J28" s="101">
        <v>2</v>
      </c>
      <c r="K28" s="97">
        <v>101</v>
      </c>
      <c r="L28" s="79" t="s">
        <v>659</v>
      </c>
    </row>
    <row r="29" spans="1:27" ht="13.5" customHeight="1">
      <c r="A29" s="91">
        <v>10104966</v>
      </c>
      <c r="B29" s="99" t="s">
        <v>1174</v>
      </c>
      <c r="C29" s="100" t="s">
        <v>258</v>
      </c>
      <c r="D29" s="60">
        <v>800</v>
      </c>
      <c r="E29" s="56" t="s">
        <v>596</v>
      </c>
      <c r="F29" s="60">
        <v>4966</v>
      </c>
      <c r="G29" s="60" t="s">
        <v>282</v>
      </c>
      <c r="H29" s="60">
        <v>5065</v>
      </c>
      <c r="I29" s="60" t="s">
        <v>624</v>
      </c>
      <c r="J29" s="101">
        <v>2</v>
      </c>
      <c r="K29" s="97">
        <v>101</v>
      </c>
      <c r="L29" s="79" t="s">
        <v>659</v>
      </c>
    </row>
    <row r="30" spans="1:27" ht="13.5" customHeight="1">
      <c r="A30" s="91">
        <v>10105066</v>
      </c>
      <c r="B30" s="99" t="s">
        <v>1175</v>
      </c>
      <c r="C30" s="100" t="s">
        <v>258</v>
      </c>
      <c r="D30" s="60">
        <v>800</v>
      </c>
      <c r="E30" s="56" t="s">
        <v>596</v>
      </c>
      <c r="F30" s="60">
        <v>5066</v>
      </c>
      <c r="G30" s="60" t="s">
        <v>282</v>
      </c>
      <c r="H30" s="60">
        <v>5165</v>
      </c>
      <c r="I30" s="60" t="s">
        <v>625</v>
      </c>
      <c r="J30" s="101">
        <v>2</v>
      </c>
      <c r="K30" s="97">
        <v>101</v>
      </c>
      <c r="L30" s="79" t="s">
        <v>659</v>
      </c>
    </row>
    <row r="31" spans="1:27" ht="13.5" customHeight="1">
      <c r="A31" s="91">
        <v>10105166</v>
      </c>
      <c r="B31" s="99" t="s">
        <v>1176</v>
      </c>
      <c r="C31" s="100" t="s">
        <v>258</v>
      </c>
      <c r="D31" s="60">
        <v>800</v>
      </c>
      <c r="E31" s="56" t="s">
        <v>596</v>
      </c>
      <c r="F31" s="60">
        <v>5166</v>
      </c>
      <c r="G31" s="60" t="s">
        <v>282</v>
      </c>
      <c r="H31" s="60">
        <v>5265</v>
      </c>
      <c r="I31" s="60" t="s">
        <v>626</v>
      </c>
      <c r="J31" s="101">
        <v>2</v>
      </c>
      <c r="K31" s="97">
        <v>101</v>
      </c>
      <c r="L31" s="79" t="s">
        <v>659</v>
      </c>
    </row>
    <row r="32" spans="1:27" ht="13.5" customHeight="1">
      <c r="A32" s="91">
        <v>10105266</v>
      </c>
      <c r="B32" s="99" t="s">
        <v>1177</v>
      </c>
      <c r="C32" s="100" t="s">
        <v>258</v>
      </c>
      <c r="D32" s="60">
        <v>800</v>
      </c>
      <c r="E32" s="56" t="s">
        <v>596</v>
      </c>
      <c r="F32" s="60">
        <v>5266</v>
      </c>
      <c r="G32" s="60" t="s">
        <v>282</v>
      </c>
      <c r="H32" s="60">
        <v>5365</v>
      </c>
      <c r="I32" s="60" t="s">
        <v>627</v>
      </c>
      <c r="J32" s="101">
        <v>3</v>
      </c>
      <c r="K32" s="97">
        <v>101</v>
      </c>
      <c r="L32" s="79" t="s">
        <v>659</v>
      </c>
    </row>
    <row r="33" spans="1:12" ht="13.5" customHeight="1">
      <c r="A33" s="91">
        <v>10105366</v>
      </c>
      <c r="B33" s="99" t="s">
        <v>1178</v>
      </c>
      <c r="C33" s="100" t="s">
        <v>258</v>
      </c>
      <c r="D33" s="60">
        <v>800</v>
      </c>
      <c r="E33" s="56" t="s">
        <v>596</v>
      </c>
      <c r="F33" s="60">
        <v>5366</v>
      </c>
      <c r="G33" s="60" t="s">
        <v>282</v>
      </c>
      <c r="H33" s="60">
        <v>5465</v>
      </c>
      <c r="I33" s="60" t="s">
        <v>628</v>
      </c>
      <c r="J33" s="101">
        <v>3</v>
      </c>
      <c r="K33" s="97">
        <v>101</v>
      </c>
      <c r="L33" s="79" t="s">
        <v>659</v>
      </c>
    </row>
    <row r="34" spans="1:12" ht="13.5" customHeight="1">
      <c r="A34" s="91">
        <v>10105466</v>
      </c>
      <c r="B34" s="99" t="s">
        <v>1179</v>
      </c>
      <c r="C34" s="100" t="s">
        <v>258</v>
      </c>
      <c r="D34" s="60">
        <v>800</v>
      </c>
      <c r="E34" s="56" t="s">
        <v>596</v>
      </c>
      <c r="F34" s="60">
        <v>5466</v>
      </c>
      <c r="G34" s="60" t="s">
        <v>282</v>
      </c>
      <c r="H34" s="60">
        <v>5565</v>
      </c>
      <c r="I34" s="60" t="s">
        <v>629</v>
      </c>
      <c r="J34" s="101">
        <v>3</v>
      </c>
      <c r="K34" s="97">
        <v>101</v>
      </c>
      <c r="L34" s="79" t="s">
        <v>659</v>
      </c>
    </row>
    <row r="35" spans="1:12" ht="13.5" customHeight="1">
      <c r="A35" s="91">
        <v>10105566</v>
      </c>
      <c r="B35" s="99" t="s">
        <v>1180</v>
      </c>
      <c r="C35" s="100" t="s">
        <v>258</v>
      </c>
      <c r="D35" s="60">
        <v>800</v>
      </c>
      <c r="E35" s="56" t="s">
        <v>596</v>
      </c>
      <c r="F35" s="60">
        <v>5566</v>
      </c>
      <c r="G35" s="60" t="s">
        <v>282</v>
      </c>
      <c r="H35" s="60">
        <v>5665</v>
      </c>
      <c r="I35" s="60" t="s">
        <v>630</v>
      </c>
      <c r="J35" s="101">
        <v>3</v>
      </c>
      <c r="K35" s="97">
        <v>101</v>
      </c>
      <c r="L35" s="79" t="s">
        <v>659</v>
      </c>
    </row>
    <row r="36" spans="1:12" ht="13.5" customHeight="1">
      <c r="A36" s="91">
        <v>10105666</v>
      </c>
      <c r="B36" s="99" t="s">
        <v>1181</v>
      </c>
      <c r="C36" s="100" t="s">
        <v>258</v>
      </c>
      <c r="D36" s="60">
        <v>800</v>
      </c>
      <c r="E36" s="56" t="s">
        <v>596</v>
      </c>
      <c r="F36" s="60">
        <v>5666</v>
      </c>
      <c r="G36" s="60" t="s">
        <v>282</v>
      </c>
      <c r="H36" s="60">
        <v>5765</v>
      </c>
      <c r="I36" s="60" t="s">
        <v>631</v>
      </c>
      <c r="J36" s="101">
        <v>3</v>
      </c>
      <c r="K36" s="97">
        <v>101</v>
      </c>
      <c r="L36" s="79" t="s">
        <v>659</v>
      </c>
    </row>
    <row r="37" spans="1:12" ht="13.5" customHeight="1">
      <c r="A37" s="91">
        <v>10105766</v>
      </c>
      <c r="B37" s="99" t="s">
        <v>1182</v>
      </c>
      <c r="C37" s="100" t="s">
        <v>258</v>
      </c>
      <c r="D37" s="60">
        <v>800</v>
      </c>
      <c r="E37" s="56" t="s">
        <v>596</v>
      </c>
      <c r="F37" s="60">
        <v>5766</v>
      </c>
      <c r="G37" s="60" t="s">
        <v>282</v>
      </c>
      <c r="H37" s="60">
        <v>5865</v>
      </c>
      <c r="I37" s="60" t="s">
        <v>632</v>
      </c>
      <c r="J37" s="101">
        <v>3</v>
      </c>
      <c r="K37" s="97">
        <v>101</v>
      </c>
      <c r="L37" s="79" t="s">
        <v>659</v>
      </c>
    </row>
    <row r="38" spans="1:12" ht="13.5" customHeight="1">
      <c r="A38" s="91">
        <v>10105866</v>
      </c>
      <c r="B38" s="99" t="s">
        <v>1183</v>
      </c>
      <c r="C38" s="100" t="s">
        <v>258</v>
      </c>
      <c r="D38" s="60">
        <v>800</v>
      </c>
      <c r="E38" s="56" t="s">
        <v>596</v>
      </c>
      <c r="F38" s="60">
        <v>5866</v>
      </c>
      <c r="G38" s="60" t="s">
        <v>282</v>
      </c>
      <c r="H38" s="60">
        <v>5965</v>
      </c>
      <c r="I38" s="60" t="s">
        <v>633</v>
      </c>
      <c r="J38" s="101">
        <v>3</v>
      </c>
      <c r="K38" s="97">
        <v>101</v>
      </c>
      <c r="L38" s="79" t="s">
        <v>659</v>
      </c>
    </row>
    <row r="39" spans="1:12" ht="13.5" customHeight="1">
      <c r="A39" s="91">
        <v>10105966</v>
      </c>
      <c r="B39" s="99" t="s">
        <v>1184</v>
      </c>
      <c r="C39" s="100" t="s">
        <v>258</v>
      </c>
      <c r="D39" s="60">
        <v>800</v>
      </c>
      <c r="E39" s="56" t="s">
        <v>596</v>
      </c>
      <c r="F39" s="60">
        <v>5966</v>
      </c>
      <c r="G39" s="60" t="s">
        <v>282</v>
      </c>
      <c r="H39" s="60">
        <v>6065</v>
      </c>
      <c r="I39" s="60" t="s">
        <v>634</v>
      </c>
      <c r="J39" s="101">
        <v>3</v>
      </c>
      <c r="K39" s="97">
        <v>101</v>
      </c>
      <c r="L39" s="79" t="s">
        <v>659</v>
      </c>
    </row>
    <row r="40" spans="1:12" ht="13.5" customHeight="1">
      <c r="A40" s="91">
        <v>10106066</v>
      </c>
      <c r="B40" s="99" t="s">
        <v>1185</v>
      </c>
      <c r="C40" s="100" t="s">
        <v>258</v>
      </c>
      <c r="D40" s="60">
        <v>800</v>
      </c>
      <c r="E40" s="56" t="s">
        <v>596</v>
      </c>
      <c r="F40" s="60">
        <v>6066</v>
      </c>
      <c r="G40" s="60" t="s">
        <v>282</v>
      </c>
      <c r="H40" s="60">
        <v>6165</v>
      </c>
      <c r="I40" s="60" t="s">
        <v>635</v>
      </c>
      <c r="J40" s="101">
        <v>4</v>
      </c>
      <c r="K40" s="97">
        <v>101</v>
      </c>
      <c r="L40" s="79" t="s">
        <v>659</v>
      </c>
    </row>
    <row r="41" spans="1:12" ht="13.5" customHeight="1">
      <c r="A41" s="91">
        <v>10106166</v>
      </c>
      <c r="B41" s="99" t="s">
        <v>1186</v>
      </c>
      <c r="C41" s="100" t="s">
        <v>258</v>
      </c>
      <c r="D41" s="60">
        <v>800</v>
      </c>
      <c r="E41" s="56" t="s">
        <v>596</v>
      </c>
      <c r="F41" s="60">
        <v>6166</v>
      </c>
      <c r="G41" s="60" t="s">
        <v>282</v>
      </c>
      <c r="H41" s="60">
        <v>6265</v>
      </c>
      <c r="I41" s="60" t="s">
        <v>636</v>
      </c>
      <c r="J41" s="101">
        <v>4</v>
      </c>
      <c r="K41" s="97">
        <v>101</v>
      </c>
      <c r="L41" s="79" t="s">
        <v>659</v>
      </c>
    </row>
    <row r="42" spans="1:12" ht="13.5" customHeight="1">
      <c r="A42" s="91">
        <v>10106266</v>
      </c>
      <c r="B42" s="99" t="s">
        <v>1187</v>
      </c>
      <c r="C42" s="100" t="s">
        <v>258</v>
      </c>
      <c r="D42" s="60">
        <v>800</v>
      </c>
      <c r="E42" s="56" t="s">
        <v>596</v>
      </c>
      <c r="F42" s="60">
        <v>6266</v>
      </c>
      <c r="G42" s="60" t="s">
        <v>282</v>
      </c>
      <c r="H42" s="60">
        <v>6365</v>
      </c>
      <c r="I42" s="60" t="s">
        <v>637</v>
      </c>
      <c r="J42" s="101">
        <v>4</v>
      </c>
      <c r="K42" s="97">
        <v>101</v>
      </c>
      <c r="L42" s="79" t="s">
        <v>659</v>
      </c>
    </row>
    <row r="43" spans="1:12" ht="13.5" customHeight="1">
      <c r="A43" s="91">
        <v>10106366</v>
      </c>
      <c r="B43" s="99" t="s">
        <v>1188</v>
      </c>
      <c r="C43" s="100" t="s">
        <v>258</v>
      </c>
      <c r="D43" s="60">
        <v>800</v>
      </c>
      <c r="E43" s="56" t="s">
        <v>596</v>
      </c>
      <c r="F43" s="60">
        <v>6366</v>
      </c>
      <c r="G43" s="60" t="s">
        <v>282</v>
      </c>
      <c r="H43" s="60">
        <v>6465</v>
      </c>
      <c r="I43" s="60" t="s">
        <v>638</v>
      </c>
      <c r="J43" s="101">
        <v>4</v>
      </c>
      <c r="K43" s="97">
        <v>101</v>
      </c>
      <c r="L43" s="79" t="s">
        <v>659</v>
      </c>
    </row>
    <row r="44" spans="1:12" ht="13.5" customHeight="1">
      <c r="A44" s="91">
        <v>10106466</v>
      </c>
      <c r="B44" s="99" t="s">
        <v>1189</v>
      </c>
      <c r="C44" s="100" t="s">
        <v>258</v>
      </c>
      <c r="D44" s="60">
        <v>800</v>
      </c>
      <c r="E44" s="56" t="s">
        <v>596</v>
      </c>
      <c r="F44" s="60">
        <v>6466</v>
      </c>
      <c r="G44" s="60" t="s">
        <v>282</v>
      </c>
      <c r="H44" s="60">
        <v>6565</v>
      </c>
      <c r="I44" s="60" t="s">
        <v>639</v>
      </c>
      <c r="J44" s="101">
        <v>4</v>
      </c>
      <c r="K44" s="97">
        <v>101</v>
      </c>
      <c r="L44" s="79" t="s">
        <v>659</v>
      </c>
    </row>
    <row r="45" spans="1:12" ht="13.5" customHeight="1">
      <c r="A45" s="91">
        <v>10106566</v>
      </c>
      <c r="B45" s="99" t="s">
        <v>1190</v>
      </c>
      <c r="C45" s="100" t="s">
        <v>258</v>
      </c>
      <c r="D45" s="60">
        <v>800</v>
      </c>
      <c r="E45" s="56" t="s">
        <v>596</v>
      </c>
      <c r="F45" s="60">
        <v>6566</v>
      </c>
      <c r="G45" s="60" t="s">
        <v>282</v>
      </c>
      <c r="H45" s="60">
        <v>6665</v>
      </c>
      <c r="I45" s="60" t="s">
        <v>640</v>
      </c>
      <c r="J45" s="101">
        <v>4</v>
      </c>
      <c r="K45" s="97">
        <v>101</v>
      </c>
      <c r="L45" s="79" t="s">
        <v>659</v>
      </c>
    </row>
    <row r="46" spans="1:12" ht="13.5" customHeight="1">
      <c r="A46" s="91">
        <v>10106666</v>
      </c>
      <c r="B46" s="99" t="s">
        <v>1191</v>
      </c>
      <c r="C46" s="100" t="s">
        <v>258</v>
      </c>
      <c r="D46" s="60">
        <v>800</v>
      </c>
      <c r="E46" s="56" t="s">
        <v>596</v>
      </c>
      <c r="F46" s="60">
        <v>6666</v>
      </c>
      <c r="G46" s="60" t="s">
        <v>282</v>
      </c>
      <c r="H46" s="60">
        <v>6765</v>
      </c>
      <c r="I46" s="60" t="s">
        <v>641</v>
      </c>
      <c r="J46" s="101">
        <v>4</v>
      </c>
      <c r="K46" s="97">
        <v>101</v>
      </c>
      <c r="L46" s="79" t="s">
        <v>659</v>
      </c>
    </row>
    <row r="47" spans="1:12" ht="13.5" customHeight="1">
      <c r="A47" s="91">
        <v>10106766</v>
      </c>
      <c r="B47" s="99" t="s">
        <v>1192</v>
      </c>
      <c r="C47" s="100" t="s">
        <v>258</v>
      </c>
      <c r="D47" s="60">
        <v>800</v>
      </c>
      <c r="E47" s="56" t="s">
        <v>596</v>
      </c>
      <c r="F47" s="60">
        <v>6766</v>
      </c>
      <c r="G47" s="60" t="s">
        <v>282</v>
      </c>
      <c r="H47" s="60">
        <v>6865</v>
      </c>
      <c r="I47" s="60" t="s">
        <v>642</v>
      </c>
      <c r="J47" s="101">
        <v>4</v>
      </c>
      <c r="K47" s="97">
        <v>101</v>
      </c>
      <c r="L47" s="79" t="s">
        <v>659</v>
      </c>
    </row>
    <row r="48" spans="1:12" ht="13.5" customHeight="1">
      <c r="A48" s="91">
        <v>10106866</v>
      </c>
      <c r="B48" s="99" t="s">
        <v>1193</v>
      </c>
      <c r="C48" s="100" t="s">
        <v>258</v>
      </c>
      <c r="D48" s="60">
        <v>800</v>
      </c>
      <c r="E48" s="56" t="s">
        <v>596</v>
      </c>
      <c r="F48" s="60">
        <v>6866</v>
      </c>
      <c r="G48" s="60" t="s">
        <v>282</v>
      </c>
      <c r="H48" s="60">
        <v>6965</v>
      </c>
      <c r="I48" s="60" t="s">
        <v>643</v>
      </c>
      <c r="J48" s="101">
        <v>5</v>
      </c>
      <c r="K48" s="97">
        <v>101</v>
      </c>
      <c r="L48" s="79" t="s">
        <v>659</v>
      </c>
    </row>
    <row r="49" spans="1:12" ht="13.5" customHeight="1">
      <c r="A49" s="91">
        <v>10106966</v>
      </c>
      <c r="B49" s="99" t="s">
        <v>1194</v>
      </c>
      <c r="C49" s="100" t="s">
        <v>258</v>
      </c>
      <c r="D49" s="60">
        <v>800</v>
      </c>
      <c r="E49" s="56" t="s">
        <v>596</v>
      </c>
      <c r="F49" s="60">
        <v>6966</v>
      </c>
      <c r="G49" s="60" t="s">
        <v>282</v>
      </c>
      <c r="H49" s="60">
        <v>7065</v>
      </c>
      <c r="I49" s="60" t="s">
        <v>644</v>
      </c>
      <c r="J49" s="101">
        <v>5</v>
      </c>
      <c r="K49" s="97">
        <v>101</v>
      </c>
      <c r="L49" s="79" t="s">
        <v>659</v>
      </c>
    </row>
    <row r="50" spans="1:12" ht="13.5" customHeight="1">
      <c r="A50" s="91">
        <v>10107066</v>
      </c>
      <c r="B50" s="99" t="s">
        <v>1195</v>
      </c>
      <c r="C50" s="100" t="s">
        <v>258</v>
      </c>
      <c r="D50" s="60">
        <v>800</v>
      </c>
      <c r="E50" s="56" t="s">
        <v>596</v>
      </c>
      <c r="F50" s="60">
        <v>7066</v>
      </c>
      <c r="G50" s="60" t="s">
        <v>282</v>
      </c>
      <c r="H50" s="60">
        <v>7165</v>
      </c>
      <c r="I50" s="60" t="s">
        <v>645</v>
      </c>
      <c r="J50" s="101">
        <v>5</v>
      </c>
      <c r="K50" s="97">
        <v>101</v>
      </c>
      <c r="L50" s="79" t="s">
        <v>659</v>
      </c>
    </row>
    <row r="51" spans="1:12" ht="13.5" customHeight="1">
      <c r="A51" s="91">
        <v>10107166</v>
      </c>
      <c r="B51" s="99" t="s">
        <v>1196</v>
      </c>
      <c r="C51" s="100" t="s">
        <v>258</v>
      </c>
      <c r="D51" s="60">
        <v>800</v>
      </c>
      <c r="E51" s="56" t="s">
        <v>596</v>
      </c>
      <c r="F51" s="60">
        <v>7166</v>
      </c>
      <c r="G51" s="60" t="s">
        <v>282</v>
      </c>
      <c r="H51" s="60">
        <v>7265</v>
      </c>
      <c r="I51" s="60" t="s">
        <v>646</v>
      </c>
      <c r="J51" s="101">
        <v>5</v>
      </c>
      <c r="K51" s="97">
        <v>101</v>
      </c>
      <c r="L51" s="79" t="s">
        <v>659</v>
      </c>
    </row>
    <row r="52" spans="1:12" ht="13.5" customHeight="1">
      <c r="A52" s="91">
        <v>10107266</v>
      </c>
      <c r="B52" s="99" t="s">
        <v>1197</v>
      </c>
      <c r="C52" s="100" t="s">
        <v>258</v>
      </c>
      <c r="D52" s="60">
        <v>800</v>
      </c>
      <c r="E52" s="56" t="s">
        <v>596</v>
      </c>
      <c r="F52" s="60">
        <v>7266</v>
      </c>
      <c r="G52" s="60" t="s">
        <v>282</v>
      </c>
      <c r="H52" s="60">
        <v>7365</v>
      </c>
      <c r="I52" s="60" t="s">
        <v>647</v>
      </c>
      <c r="J52" s="101">
        <v>5</v>
      </c>
      <c r="K52" s="97">
        <v>101</v>
      </c>
      <c r="L52" s="79" t="s">
        <v>659</v>
      </c>
    </row>
    <row r="53" spans="1:12" ht="13.5" customHeight="1">
      <c r="A53" s="91">
        <v>10107366</v>
      </c>
      <c r="B53" s="99" t="s">
        <v>1198</v>
      </c>
      <c r="C53" s="100" t="s">
        <v>258</v>
      </c>
      <c r="D53" s="60">
        <v>800</v>
      </c>
      <c r="E53" s="56" t="s">
        <v>596</v>
      </c>
      <c r="F53" s="60">
        <v>7366</v>
      </c>
      <c r="G53" s="60" t="s">
        <v>282</v>
      </c>
      <c r="H53" s="60">
        <v>7465</v>
      </c>
      <c r="I53" s="60" t="s">
        <v>648</v>
      </c>
      <c r="J53" s="101">
        <v>5</v>
      </c>
      <c r="K53" s="97">
        <v>101</v>
      </c>
      <c r="L53" s="79" t="s">
        <v>659</v>
      </c>
    </row>
    <row r="54" spans="1:12" ht="13.5" customHeight="1">
      <c r="A54" s="91">
        <v>10107466</v>
      </c>
      <c r="B54" s="99" t="s">
        <v>1199</v>
      </c>
      <c r="C54" s="100" t="s">
        <v>258</v>
      </c>
      <c r="D54" s="60">
        <v>800</v>
      </c>
      <c r="E54" s="56" t="s">
        <v>596</v>
      </c>
      <c r="F54" s="60">
        <v>7466</v>
      </c>
      <c r="G54" s="60" t="s">
        <v>282</v>
      </c>
      <c r="H54" s="60">
        <v>7565</v>
      </c>
      <c r="I54" s="60" t="s">
        <v>649</v>
      </c>
      <c r="J54" s="101">
        <v>5</v>
      </c>
      <c r="K54" s="97">
        <v>101</v>
      </c>
      <c r="L54" s="79" t="s">
        <v>659</v>
      </c>
    </row>
    <row r="55" spans="1:12" ht="13.5" customHeight="1">
      <c r="A55" s="91">
        <v>10107566</v>
      </c>
      <c r="B55" s="99" t="s">
        <v>1200</v>
      </c>
      <c r="C55" s="100" t="s">
        <v>258</v>
      </c>
      <c r="D55" s="60">
        <v>800</v>
      </c>
      <c r="E55" s="56" t="s">
        <v>596</v>
      </c>
      <c r="F55" s="60">
        <v>7566</v>
      </c>
      <c r="G55" s="60" t="s">
        <v>282</v>
      </c>
      <c r="H55" s="60">
        <v>7665</v>
      </c>
      <c r="I55" s="60" t="s">
        <v>650</v>
      </c>
      <c r="J55" s="101">
        <v>5</v>
      </c>
      <c r="K55" s="97">
        <v>101</v>
      </c>
      <c r="L55" s="79" t="s">
        <v>659</v>
      </c>
    </row>
    <row r="56" spans="1:12" ht="13.5" customHeight="1">
      <c r="A56" s="91">
        <v>10107666</v>
      </c>
      <c r="B56" s="99" t="s">
        <v>1201</v>
      </c>
      <c r="C56" s="100" t="s">
        <v>258</v>
      </c>
      <c r="D56" s="60">
        <v>800</v>
      </c>
      <c r="E56" s="56" t="s">
        <v>596</v>
      </c>
      <c r="F56" s="60">
        <v>7666</v>
      </c>
      <c r="G56" s="60" t="s">
        <v>282</v>
      </c>
      <c r="H56" s="60">
        <v>7765</v>
      </c>
      <c r="I56" s="60" t="s">
        <v>651</v>
      </c>
      <c r="J56" s="101">
        <v>6</v>
      </c>
      <c r="K56" s="97">
        <v>101</v>
      </c>
      <c r="L56" s="79" t="s">
        <v>659</v>
      </c>
    </row>
    <row r="57" spans="1:12" ht="13.5" customHeight="1">
      <c r="A57" s="91">
        <v>10107766</v>
      </c>
      <c r="B57" s="99" t="s">
        <v>1202</v>
      </c>
      <c r="C57" s="100" t="s">
        <v>258</v>
      </c>
      <c r="D57" s="60">
        <v>800</v>
      </c>
      <c r="E57" s="56" t="s">
        <v>596</v>
      </c>
      <c r="F57" s="60">
        <v>7766</v>
      </c>
      <c r="G57" s="60" t="s">
        <v>282</v>
      </c>
      <c r="H57" s="60">
        <v>7865</v>
      </c>
      <c r="I57" s="60" t="s">
        <v>652</v>
      </c>
      <c r="J57" s="101">
        <v>6</v>
      </c>
      <c r="K57" s="97">
        <v>101</v>
      </c>
      <c r="L57" s="79" t="s">
        <v>659</v>
      </c>
    </row>
    <row r="58" spans="1:12" ht="13.5" customHeight="1">
      <c r="A58" s="91">
        <v>10107866</v>
      </c>
      <c r="B58" s="99" t="s">
        <v>1203</v>
      </c>
      <c r="C58" s="100" t="s">
        <v>258</v>
      </c>
      <c r="D58" s="60">
        <v>800</v>
      </c>
      <c r="E58" s="56" t="s">
        <v>596</v>
      </c>
      <c r="F58" s="60">
        <v>7866</v>
      </c>
      <c r="G58" s="60" t="s">
        <v>282</v>
      </c>
      <c r="H58" s="60">
        <v>7965</v>
      </c>
      <c r="I58" s="60" t="s">
        <v>653</v>
      </c>
      <c r="J58" s="101">
        <v>6</v>
      </c>
      <c r="K58" s="97">
        <v>101</v>
      </c>
      <c r="L58" s="79" t="s">
        <v>659</v>
      </c>
    </row>
    <row r="59" spans="1:12" ht="14.25" customHeight="1">
      <c r="A59" s="91">
        <v>10107966</v>
      </c>
      <c r="B59" s="102" t="s">
        <v>1204</v>
      </c>
      <c r="C59" s="103" t="s">
        <v>258</v>
      </c>
      <c r="D59" s="104">
        <v>800</v>
      </c>
      <c r="E59" s="105" t="s">
        <v>596</v>
      </c>
      <c r="F59" s="104">
        <v>7966</v>
      </c>
      <c r="G59" s="104" t="s">
        <v>282</v>
      </c>
      <c r="H59" s="104">
        <v>8065</v>
      </c>
      <c r="I59" s="104" t="s">
        <v>654</v>
      </c>
      <c r="J59" s="106">
        <v>6</v>
      </c>
      <c r="K59" s="97">
        <v>101</v>
      </c>
      <c r="L59" s="79" t="s">
        <v>659</v>
      </c>
    </row>
    <row r="60" spans="1:12" ht="13.5" customHeight="1">
      <c r="A60" s="91">
        <v>10200000</v>
      </c>
      <c r="B60" s="92" t="s">
        <v>1205</v>
      </c>
      <c r="C60" s="93" t="s">
        <v>258</v>
      </c>
      <c r="D60" s="95">
        <v>800</v>
      </c>
      <c r="E60" s="94" t="s">
        <v>264</v>
      </c>
      <c r="F60" s="95">
        <v>0</v>
      </c>
      <c r="G60" s="95" t="s">
        <v>282</v>
      </c>
      <c r="H60" s="95">
        <v>2640</v>
      </c>
      <c r="I60" s="95" t="s">
        <v>597</v>
      </c>
      <c r="J60" s="96">
        <v>0</v>
      </c>
      <c r="K60" s="97">
        <v>102</v>
      </c>
      <c r="L60" s="79" t="s">
        <v>659</v>
      </c>
    </row>
    <row r="61" spans="1:12" ht="13.5" customHeight="1">
      <c r="A61" s="91">
        <v>10202641</v>
      </c>
      <c r="B61" s="99" t="s">
        <v>1206</v>
      </c>
      <c r="C61" s="100" t="s">
        <v>258</v>
      </c>
      <c r="D61" s="60">
        <v>800</v>
      </c>
      <c r="E61" s="56" t="s">
        <v>264</v>
      </c>
      <c r="F61" s="60">
        <v>2641</v>
      </c>
      <c r="G61" s="60" t="s">
        <v>282</v>
      </c>
      <c r="H61" s="60">
        <v>2715</v>
      </c>
      <c r="I61" s="60" t="s">
        <v>599</v>
      </c>
      <c r="J61" s="101">
        <v>0</v>
      </c>
      <c r="K61" s="97">
        <v>102</v>
      </c>
      <c r="L61" s="79" t="s">
        <v>659</v>
      </c>
    </row>
    <row r="62" spans="1:12" ht="13.5" customHeight="1">
      <c r="A62" s="91">
        <v>10202716</v>
      </c>
      <c r="B62" s="99" t="s">
        <v>1207</v>
      </c>
      <c r="C62" s="100" t="s">
        <v>258</v>
      </c>
      <c r="D62" s="60">
        <v>800</v>
      </c>
      <c r="E62" s="56" t="s">
        <v>264</v>
      </c>
      <c r="F62" s="60">
        <v>2716</v>
      </c>
      <c r="G62" s="60" t="s">
        <v>282</v>
      </c>
      <c r="H62" s="60">
        <v>2765</v>
      </c>
      <c r="I62" s="60" t="s">
        <v>600</v>
      </c>
      <c r="J62" s="101">
        <v>0</v>
      </c>
      <c r="K62" s="97">
        <v>102</v>
      </c>
      <c r="L62" s="79" t="s">
        <v>659</v>
      </c>
    </row>
    <row r="63" spans="1:12" ht="13.5" customHeight="1">
      <c r="A63" s="91">
        <v>10202766</v>
      </c>
      <c r="B63" s="99" t="s">
        <v>1208</v>
      </c>
      <c r="C63" s="100" t="s">
        <v>258</v>
      </c>
      <c r="D63" s="60">
        <v>800</v>
      </c>
      <c r="E63" s="56" t="s">
        <v>264</v>
      </c>
      <c r="F63" s="60">
        <v>2766</v>
      </c>
      <c r="G63" s="60" t="s">
        <v>282</v>
      </c>
      <c r="H63" s="60">
        <v>2865</v>
      </c>
      <c r="I63" s="60" t="s">
        <v>602</v>
      </c>
      <c r="J63" s="101">
        <v>0</v>
      </c>
      <c r="K63" s="97">
        <v>102</v>
      </c>
      <c r="L63" s="79" t="s">
        <v>659</v>
      </c>
    </row>
    <row r="64" spans="1:12" ht="13.5" customHeight="1">
      <c r="A64" s="91">
        <v>10202866</v>
      </c>
      <c r="B64" s="99" t="s">
        <v>1209</v>
      </c>
      <c r="C64" s="100" t="s">
        <v>258</v>
      </c>
      <c r="D64" s="60">
        <v>800</v>
      </c>
      <c r="E64" s="56" t="s">
        <v>264</v>
      </c>
      <c r="F64" s="60">
        <v>2866</v>
      </c>
      <c r="G64" s="60" t="s">
        <v>282</v>
      </c>
      <c r="H64" s="60">
        <v>2965</v>
      </c>
      <c r="I64" s="60" t="s">
        <v>603</v>
      </c>
      <c r="J64" s="101">
        <v>0</v>
      </c>
      <c r="K64" s="97">
        <v>102</v>
      </c>
      <c r="L64" s="79" t="s">
        <v>659</v>
      </c>
    </row>
    <row r="65" spans="1:12" ht="13.5" customHeight="1">
      <c r="A65" s="91">
        <v>10202966</v>
      </c>
      <c r="B65" s="99" t="s">
        <v>1210</v>
      </c>
      <c r="C65" s="100" t="s">
        <v>258</v>
      </c>
      <c r="D65" s="60">
        <v>800</v>
      </c>
      <c r="E65" s="56" t="s">
        <v>264</v>
      </c>
      <c r="F65" s="60">
        <v>2966</v>
      </c>
      <c r="G65" s="60" t="s">
        <v>282</v>
      </c>
      <c r="H65" s="60">
        <v>3065</v>
      </c>
      <c r="I65" s="60" t="s">
        <v>604</v>
      </c>
      <c r="J65" s="101">
        <v>0</v>
      </c>
      <c r="K65" s="97">
        <v>102</v>
      </c>
      <c r="L65" s="79" t="s">
        <v>659</v>
      </c>
    </row>
    <row r="66" spans="1:12" ht="13.5" customHeight="1">
      <c r="A66" s="91">
        <v>10203066</v>
      </c>
      <c r="B66" s="99" t="s">
        <v>1211</v>
      </c>
      <c r="C66" s="100" t="s">
        <v>258</v>
      </c>
      <c r="D66" s="60">
        <v>800</v>
      </c>
      <c r="E66" s="56" t="s">
        <v>264</v>
      </c>
      <c r="F66" s="60">
        <v>3066</v>
      </c>
      <c r="G66" s="60" t="s">
        <v>282</v>
      </c>
      <c r="H66" s="60">
        <v>3165</v>
      </c>
      <c r="I66" s="60" t="s">
        <v>605</v>
      </c>
      <c r="J66" s="101">
        <v>0</v>
      </c>
      <c r="K66" s="97">
        <v>102</v>
      </c>
      <c r="L66" s="79" t="s">
        <v>659</v>
      </c>
    </row>
    <row r="67" spans="1:12" ht="13.5" customHeight="1">
      <c r="A67" s="91">
        <v>10203166</v>
      </c>
      <c r="B67" s="99" t="s">
        <v>1212</v>
      </c>
      <c r="C67" s="100" t="s">
        <v>258</v>
      </c>
      <c r="D67" s="60">
        <v>800</v>
      </c>
      <c r="E67" s="56" t="s">
        <v>264</v>
      </c>
      <c r="F67" s="60">
        <v>3166</v>
      </c>
      <c r="G67" s="60" t="s">
        <v>282</v>
      </c>
      <c r="H67" s="60">
        <v>3265</v>
      </c>
      <c r="I67" s="60" t="s">
        <v>606</v>
      </c>
      <c r="J67" s="101">
        <v>0</v>
      </c>
      <c r="K67" s="97">
        <v>102</v>
      </c>
      <c r="L67" s="79" t="s">
        <v>659</v>
      </c>
    </row>
    <row r="68" spans="1:12" ht="13.5" customHeight="1">
      <c r="A68" s="91">
        <v>10203266</v>
      </c>
      <c r="B68" s="99" t="s">
        <v>1213</v>
      </c>
      <c r="C68" s="100" t="s">
        <v>258</v>
      </c>
      <c r="D68" s="60">
        <v>800</v>
      </c>
      <c r="E68" s="56" t="s">
        <v>264</v>
      </c>
      <c r="F68" s="60">
        <v>3266</v>
      </c>
      <c r="G68" s="60" t="s">
        <v>282</v>
      </c>
      <c r="H68" s="60">
        <v>3365</v>
      </c>
      <c r="I68" s="60" t="s">
        <v>607</v>
      </c>
      <c r="J68" s="101">
        <v>0</v>
      </c>
      <c r="K68" s="97">
        <v>102</v>
      </c>
      <c r="L68" s="79" t="s">
        <v>659</v>
      </c>
    </row>
    <row r="69" spans="1:12" ht="13.5" customHeight="1">
      <c r="A69" s="91">
        <v>10203366</v>
      </c>
      <c r="B69" s="99" t="s">
        <v>1214</v>
      </c>
      <c r="C69" s="100" t="s">
        <v>258</v>
      </c>
      <c r="D69" s="60">
        <v>800</v>
      </c>
      <c r="E69" s="56" t="s">
        <v>264</v>
      </c>
      <c r="F69" s="60">
        <v>3366</v>
      </c>
      <c r="G69" s="60" t="s">
        <v>282</v>
      </c>
      <c r="H69" s="60">
        <v>3465</v>
      </c>
      <c r="I69" s="60" t="s">
        <v>608</v>
      </c>
      <c r="J69" s="101">
        <v>0</v>
      </c>
      <c r="K69" s="97">
        <v>102</v>
      </c>
      <c r="L69" s="79" t="s">
        <v>659</v>
      </c>
    </row>
    <row r="70" spans="1:12" ht="13.5" customHeight="1">
      <c r="A70" s="91">
        <v>10203466</v>
      </c>
      <c r="B70" s="99" t="s">
        <v>1215</v>
      </c>
      <c r="C70" s="100" t="s">
        <v>258</v>
      </c>
      <c r="D70" s="60">
        <v>800</v>
      </c>
      <c r="E70" s="56" t="s">
        <v>264</v>
      </c>
      <c r="F70" s="60">
        <v>3466</v>
      </c>
      <c r="G70" s="60" t="s">
        <v>282</v>
      </c>
      <c r="H70" s="60">
        <v>3565</v>
      </c>
      <c r="I70" s="60" t="s">
        <v>609</v>
      </c>
      <c r="J70" s="101">
        <v>0</v>
      </c>
      <c r="K70" s="97">
        <v>102</v>
      </c>
      <c r="L70" s="79" t="s">
        <v>659</v>
      </c>
    </row>
    <row r="71" spans="1:12" ht="13.5" customHeight="1">
      <c r="A71" s="91">
        <v>10203566</v>
      </c>
      <c r="B71" s="99" t="s">
        <v>1216</v>
      </c>
      <c r="C71" s="100" t="s">
        <v>258</v>
      </c>
      <c r="D71" s="60">
        <v>800</v>
      </c>
      <c r="E71" s="56" t="s">
        <v>264</v>
      </c>
      <c r="F71" s="60">
        <v>3566</v>
      </c>
      <c r="G71" s="60" t="s">
        <v>282</v>
      </c>
      <c r="H71" s="60">
        <v>3665</v>
      </c>
      <c r="I71" s="60" t="s">
        <v>610</v>
      </c>
      <c r="J71" s="101">
        <v>0</v>
      </c>
      <c r="K71" s="97">
        <v>102</v>
      </c>
      <c r="L71" s="79" t="s">
        <v>659</v>
      </c>
    </row>
    <row r="72" spans="1:12" ht="13.5" customHeight="1">
      <c r="A72" s="91">
        <v>10203666</v>
      </c>
      <c r="B72" s="99" t="s">
        <v>1217</v>
      </c>
      <c r="C72" s="100" t="s">
        <v>258</v>
      </c>
      <c r="D72" s="60">
        <v>800</v>
      </c>
      <c r="E72" s="56" t="s">
        <v>264</v>
      </c>
      <c r="F72" s="60">
        <v>3666</v>
      </c>
      <c r="G72" s="60" t="s">
        <v>282</v>
      </c>
      <c r="H72" s="60">
        <v>3765</v>
      </c>
      <c r="I72" s="60" t="s">
        <v>611</v>
      </c>
      <c r="J72" s="101">
        <v>1</v>
      </c>
      <c r="K72" s="97">
        <v>102</v>
      </c>
      <c r="L72" s="79" t="s">
        <v>659</v>
      </c>
    </row>
    <row r="73" spans="1:12" ht="13.5" customHeight="1">
      <c r="A73" s="91">
        <v>10203766</v>
      </c>
      <c r="B73" s="99" t="s">
        <v>1218</v>
      </c>
      <c r="C73" s="100" t="s">
        <v>258</v>
      </c>
      <c r="D73" s="60">
        <v>800</v>
      </c>
      <c r="E73" s="56" t="s">
        <v>264</v>
      </c>
      <c r="F73" s="60">
        <v>3766</v>
      </c>
      <c r="G73" s="60" t="s">
        <v>282</v>
      </c>
      <c r="H73" s="60">
        <v>3865</v>
      </c>
      <c r="I73" s="60" t="s">
        <v>612</v>
      </c>
      <c r="J73" s="101">
        <v>1</v>
      </c>
      <c r="K73" s="97">
        <v>102</v>
      </c>
      <c r="L73" s="79" t="s">
        <v>659</v>
      </c>
    </row>
    <row r="74" spans="1:12" ht="13.5" customHeight="1">
      <c r="A74" s="91">
        <v>10203866</v>
      </c>
      <c r="B74" s="99" t="s">
        <v>1219</v>
      </c>
      <c r="C74" s="100" t="s">
        <v>258</v>
      </c>
      <c r="D74" s="60">
        <v>800</v>
      </c>
      <c r="E74" s="56" t="s">
        <v>264</v>
      </c>
      <c r="F74" s="60">
        <v>3866</v>
      </c>
      <c r="G74" s="60" t="s">
        <v>282</v>
      </c>
      <c r="H74" s="60">
        <v>3965</v>
      </c>
      <c r="I74" s="60" t="s">
        <v>613</v>
      </c>
      <c r="J74" s="101">
        <v>1</v>
      </c>
      <c r="K74" s="97">
        <v>102</v>
      </c>
      <c r="L74" s="79" t="s">
        <v>659</v>
      </c>
    </row>
    <row r="75" spans="1:12" ht="13.5" customHeight="1">
      <c r="A75" s="91">
        <v>10203966</v>
      </c>
      <c r="B75" s="99" t="s">
        <v>1220</v>
      </c>
      <c r="C75" s="100" t="s">
        <v>258</v>
      </c>
      <c r="D75" s="60">
        <v>800</v>
      </c>
      <c r="E75" s="56" t="s">
        <v>264</v>
      </c>
      <c r="F75" s="60">
        <v>3966</v>
      </c>
      <c r="G75" s="60" t="s">
        <v>282</v>
      </c>
      <c r="H75" s="60">
        <v>4065</v>
      </c>
      <c r="I75" s="60" t="s">
        <v>614</v>
      </c>
      <c r="J75" s="101">
        <v>1</v>
      </c>
      <c r="K75" s="97">
        <v>102</v>
      </c>
      <c r="L75" s="79" t="s">
        <v>659</v>
      </c>
    </row>
    <row r="76" spans="1:12" ht="13.5" customHeight="1">
      <c r="A76" s="91">
        <v>10204066</v>
      </c>
      <c r="B76" s="99" t="s">
        <v>1221</v>
      </c>
      <c r="C76" s="100" t="s">
        <v>258</v>
      </c>
      <c r="D76" s="60">
        <v>800</v>
      </c>
      <c r="E76" s="56" t="s">
        <v>264</v>
      </c>
      <c r="F76" s="60">
        <v>4066</v>
      </c>
      <c r="G76" s="60" t="s">
        <v>282</v>
      </c>
      <c r="H76" s="60">
        <v>4165</v>
      </c>
      <c r="I76" s="60" t="s">
        <v>615</v>
      </c>
      <c r="J76" s="101">
        <v>1</v>
      </c>
      <c r="K76" s="97">
        <v>102</v>
      </c>
      <c r="L76" s="79" t="s">
        <v>659</v>
      </c>
    </row>
    <row r="77" spans="1:12" ht="13.5" customHeight="1">
      <c r="A77" s="91">
        <v>10204166</v>
      </c>
      <c r="B77" s="99" t="s">
        <v>1222</v>
      </c>
      <c r="C77" s="100" t="s">
        <v>258</v>
      </c>
      <c r="D77" s="60">
        <v>800</v>
      </c>
      <c r="E77" s="56" t="s">
        <v>264</v>
      </c>
      <c r="F77" s="60">
        <v>4166</v>
      </c>
      <c r="G77" s="60" t="s">
        <v>282</v>
      </c>
      <c r="H77" s="60">
        <v>4265</v>
      </c>
      <c r="I77" s="60" t="s">
        <v>616</v>
      </c>
      <c r="J77" s="101">
        <v>1</v>
      </c>
      <c r="K77" s="97">
        <v>102</v>
      </c>
      <c r="L77" s="79" t="s">
        <v>659</v>
      </c>
    </row>
    <row r="78" spans="1:12" ht="13.5" customHeight="1">
      <c r="A78" s="91">
        <v>10204266</v>
      </c>
      <c r="B78" s="99" t="s">
        <v>1223</v>
      </c>
      <c r="C78" s="100" t="s">
        <v>258</v>
      </c>
      <c r="D78" s="60">
        <v>800</v>
      </c>
      <c r="E78" s="56" t="s">
        <v>264</v>
      </c>
      <c r="F78" s="60">
        <v>4266</v>
      </c>
      <c r="G78" s="60" t="s">
        <v>282</v>
      </c>
      <c r="H78" s="60">
        <v>4365</v>
      </c>
      <c r="I78" s="60" t="s">
        <v>617</v>
      </c>
      <c r="J78" s="101">
        <v>1</v>
      </c>
      <c r="K78" s="97">
        <v>102</v>
      </c>
      <c r="L78" s="79" t="s">
        <v>659</v>
      </c>
    </row>
    <row r="79" spans="1:12" ht="13.5" customHeight="1">
      <c r="A79" s="91">
        <v>10204366</v>
      </c>
      <c r="B79" s="99" t="s">
        <v>1224</v>
      </c>
      <c r="C79" s="100" t="s">
        <v>258</v>
      </c>
      <c r="D79" s="60">
        <v>800</v>
      </c>
      <c r="E79" s="56" t="s">
        <v>264</v>
      </c>
      <c r="F79" s="60">
        <v>4366</v>
      </c>
      <c r="G79" s="60" t="s">
        <v>282</v>
      </c>
      <c r="H79" s="60">
        <v>4465</v>
      </c>
      <c r="I79" s="60" t="s">
        <v>618</v>
      </c>
      <c r="J79" s="101">
        <v>1</v>
      </c>
      <c r="K79" s="97">
        <v>102</v>
      </c>
      <c r="L79" s="79" t="s">
        <v>659</v>
      </c>
    </row>
    <row r="80" spans="1:12" ht="13.5" customHeight="1">
      <c r="A80" s="91">
        <v>10204466</v>
      </c>
      <c r="B80" s="99" t="s">
        <v>1225</v>
      </c>
      <c r="C80" s="100" t="s">
        <v>258</v>
      </c>
      <c r="D80" s="60">
        <v>800</v>
      </c>
      <c r="E80" s="56" t="s">
        <v>264</v>
      </c>
      <c r="F80" s="60">
        <v>4466</v>
      </c>
      <c r="G80" s="60" t="s">
        <v>282</v>
      </c>
      <c r="H80" s="60">
        <v>4565</v>
      </c>
      <c r="I80" s="60" t="s">
        <v>619</v>
      </c>
      <c r="J80" s="101">
        <v>2</v>
      </c>
      <c r="K80" s="97">
        <v>102</v>
      </c>
      <c r="L80" s="79" t="s">
        <v>659</v>
      </c>
    </row>
    <row r="81" spans="1:12" ht="13.5" customHeight="1">
      <c r="A81" s="91">
        <v>10204566</v>
      </c>
      <c r="B81" s="99" t="s">
        <v>1226</v>
      </c>
      <c r="C81" s="100" t="s">
        <v>258</v>
      </c>
      <c r="D81" s="60">
        <v>800</v>
      </c>
      <c r="E81" s="56" t="s">
        <v>264</v>
      </c>
      <c r="F81" s="60">
        <v>4566</v>
      </c>
      <c r="G81" s="60" t="s">
        <v>282</v>
      </c>
      <c r="H81" s="60">
        <v>4665</v>
      </c>
      <c r="I81" s="60" t="s">
        <v>620</v>
      </c>
      <c r="J81" s="101">
        <v>2</v>
      </c>
      <c r="K81" s="97">
        <v>102</v>
      </c>
      <c r="L81" s="79" t="s">
        <v>659</v>
      </c>
    </row>
    <row r="82" spans="1:12" ht="13.5" customHeight="1">
      <c r="A82" s="91">
        <v>10204666</v>
      </c>
      <c r="B82" s="99" t="s">
        <v>1227</v>
      </c>
      <c r="C82" s="100" t="s">
        <v>258</v>
      </c>
      <c r="D82" s="60">
        <v>800</v>
      </c>
      <c r="E82" s="56" t="s">
        <v>264</v>
      </c>
      <c r="F82" s="60">
        <v>4666</v>
      </c>
      <c r="G82" s="60" t="s">
        <v>282</v>
      </c>
      <c r="H82" s="60">
        <v>4765</v>
      </c>
      <c r="I82" s="60" t="s">
        <v>621</v>
      </c>
      <c r="J82" s="101">
        <v>2</v>
      </c>
      <c r="K82" s="97">
        <v>102</v>
      </c>
      <c r="L82" s="79" t="s">
        <v>659</v>
      </c>
    </row>
    <row r="83" spans="1:12" ht="13.5" customHeight="1">
      <c r="A83" s="91">
        <v>10204766</v>
      </c>
      <c r="B83" s="99" t="s">
        <v>1228</v>
      </c>
      <c r="C83" s="100" t="s">
        <v>258</v>
      </c>
      <c r="D83" s="60">
        <v>800</v>
      </c>
      <c r="E83" s="56" t="s">
        <v>264</v>
      </c>
      <c r="F83" s="60">
        <v>4766</v>
      </c>
      <c r="G83" s="60" t="s">
        <v>282</v>
      </c>
      <c r="H83" s="60">
        <v>4865</v>
      </c>
      <c r="I83" s="60" t="s">
        <v>622</v>
      </c>
      <c r="J83" s="101">
        <v>2</v>
      </c>
      <c r="K83" s="97">
        <v>102</v>
      </c>
      <c r="L83" s="79" t="s">
        <v>659</v>
      </c>
    </row>
    <row r="84" spans="1:12" ht="13.5" customHeight="1">
      <c r="A84" s="91">
        <v>10204866</v>
      </c>
      <c r="B84" s="99" t="s">
        <v>1229</v>
      </c>
      <c r="C84" s="100" t="s">
        <v>258</v>
      </c>
      <c r="D84" s="60">
        <v>800</v>
      </c>
      <c r="E84" s="56" t="s">
        <v>264</v>
      </c>
      <c r="F84" s="60">
        <v>4866</v>
      </c>
      <c r="G84" s="60" t="s">
        <v>282</v>
      </c>
      <c r="H84" s="60">
        <v>4965</v>
      </c>
      <c r="I84" s="60" t="s">
        <v>623</v>
      </c>
      <c r="J84" s="101">
        <v>2</v>
      </c>
      <c r="K84" s="97">
        <v>102</v>
      </c>
      <c r="L84" s="79" t="s">
        <v>659</v>
      </c>
    </row>
    <row r="85" spans="1:12" ht="13.5" customHeight="1">
      <c r="A85" s="91">
        <v>10204966</v>
      </c>
      <c r="B85" s="99" t="s">
        <v>1230</v>
      </c>
      <c r="C85" s="100" t="s">
        <v>258</v>
      </c>
      <c r="D85" s="60">
        <v>800</v>
      </c>
      <c r="E85" s="56" t="s">
        <v>264</v>
      </c>
      <c r="F85" s="60">
        <v>4966</v>
      </c>
      <c r="G85" s="60" t="s">
        <v>282</v>
      </c>
      <c r="H85" s="60">
        <v>5065</v>
      </c>
      <c r="I85" s="60" t="s">
        <v>624</v>
      </c>
      <c r="J85" s="101">
        <v>2</v>
      </c>
      <c r="K85" s="97">
        <v>102</v>
      </c>
      <c r="L85" s="79" t="s">
        <v>659</v>
      </c>
    </row>
    <row r="86" spans="1:12" ht="13.5" customHeight="1">
      <c r="A86" s="91">
        <v>10205066</v>
      </c>
      <c r="B86" s="99" t="s">
        <v>1231</v>
      </c>
      <c r="C86" s="100" t="s">
        <v>258</v>
      </c>
      <c r="D86" s="60">
        <v>800</v>
      </c>
      <c r="E86" s="56" t="s">
        <v>264</v>
      </c>
      <c r="F86" s="60">
        <v>5066</v>
      </c>
      <c r="G86" s="60" t="s">
        <v>282</v>
      </c>
      <c r="H86" s="60">
        <v>5165</v>
      </c>
      <c r="I86" s="60" t="s">
        <v>625</v>
      </c>
      <c r="J86" s="101">
        <v>2</v>
      </c>
      <c r="K86" s="97">
        <v>102</v>
      </c>
      <c r="L86" s="79" t="s">
        <v>659</v>
      </c>
    </row>
    <row r="87" spans="1:12" ht="13.5" customHeight="1">
      <c r="A87" s="91">
        <v>10205166</v>
      </c>
      <c r="B87" s="99" t="s">
        <v>1232</v>
      </c>
      <c r="C87" s="100" t="s">
        <v>258</v>
      </c>
      <c r="D87" s="60">
        <v>800</v>
      </c>
      <c r="E87" s="56" t="s">
        <v>264</v>
      </c>
      <c r="F87" s="60">
        <v>5166</v>
      </c>
      <c r="G87" s="60" t="s">
        <v>282</v>
      </c>
      <c r="H87" s="60">
        <v>5265</v>
      </c>
      <c r="I87" s="60" t="s">
        <v>626</v>
      </c>
      <c r="J87" s="101">
        <v>2</v>
      </c>
      <c r="K87" s="97">
        <v>102</v>
      </c>
      <c r="L87" s="79" t="s">
        <v>659</v>
      </c>
    </row>
    <row r="88" spans="1:12" ht="13.5" customHeight="1">
      <c r="A88" s="91">
        <v>10205266</v>
      </c>
      <c r="B88" s="99" t="s">
        <v>1233</v>
      </c>
      <c r="C88" s="100" t="s">
        <v>258</v>
      </c>
      <c r="D88" s="60">
        <v>800</v>
      </c>
      <c r="E88" s="56" t="s">
        <v>264</v>
      </c>
      <c r="F88" s="60">
        <v>5266</v>
      </c>
      <c r="G88" s="60" t="s">
        <v>282</v>
      </c>
      <c r="H88" s="60">
        <v>5365</v>
      </c>
      <c r="I88" s="60" t="s">
        <v>627</v>
      </c>
      <c r="J88" s="101">
        <v>3</v>
      </c>
      <c r="K88" s="97">
        <v>102</v>
      </c>
      <c r="L88" s="79" t="s">
        <v>659</v>
      </c>
    </row>
    <row r="89" spans="1:12" ht="13.5" customHeight="1">
      <c r="A89" s="91">
        <v>10205366</v>
      </c>
      <c r="B89" s="99" t="s">
        <v>1234</v>
      </c>
      <c r="C89" s="100" t="s">
        <v>258</v>
      </c>
      <c r="D89" s="60">
        <v>800</v>
      </c>
      <c r="E89" s="56" t="s">
        <v>264</v>
      </c>
      <c r="F89" s="60">
        <v>5366</v>
      </c>
      <c r="G89" s="60" t="s">
        <v>282</v>
      </c>
      <c r="H89" s="60">
        <v>5465</v>
      </c>
      <c r="I89" s="60" t="s">
        <v>628</v>
      </c>
      <c r="J89" s="101">
        <v>3</v>
      </c>
      <c r="K89" s="97">
        <v>102</v>
      </c>
      <c r="L89" s="79" t="s">
        <v>659</v>
      </c>
    </row>
    <row r="90" spans="1:12" ht="13.5" customHeight="1">
      <c r="A90" s="91">
        <v>10205466</v>
      </c>
      <c r="B90" s="99" t="s">
        <v>1235</v>
      </c>
      <c r="C90" s="100" t="s">
        <v>258</v>
      </c>
      <c r="D90" s="60">
        <v>800</v>
      </c>
      <c r="E90" s="56" t="s">
        <v>264</v>
      </c>
      <c r="F90" s="60">
        <v>5466</v>
      </c>
      <c r="G90" s="60" t="s">
        <v>282</v>
      </c>
      <c r="H90" s="60">
        <v>5565</v>
      </c>
      <c r="I90" s="60" t="s">
        <v>629</v>
      </c>
      <c r="J90" s="101">
        <v>3</v>
      </c>
      <c r="K90" s="97">
        <v>102</v>
      </c>
      <c r="L90" s="79" t="s">
        <v>659</v>
      </c>
    </row>
    <row r="91" spans="1:12" ht="13.5" customHeight="1">
      <c r="A91" s="91">
        <v>10205566</v>
      </c>
      <c r="B91" s="99" t="s">
        <v>1236</v>
      </c>
      <c r="C91" s="100" t="s">
        <v>258</v>
      </c>
      <c r="D91" s="60">
        <v>800</v>
      </c>
      <c r="E91" s="56" t="s">
        <v>264</v>
      </c>
      <c r="F91" s="60">
        <v>5566</v>
      </c>
      <c r="G91" s="60" t="s">
        <v>282</v>
      </c>
      <c r="H91" s="60">
        <v>5665</v>
      </c>
      <c r="I91" s="60" t="s">
        <v>630</v>
      </c>
      <c r="J91" s="101">
        <v>3</v>
      </c>
      <c r="K91" s="97">
        <v>102</v>
      </c>
      <c r="L91" s="79" t="s">
        <v>659</v>
      </c>
    </row>
    <row r="92" spans="1:12" ht="13.5" customHeight="1">
      <c r="A92" s="91">
        <v>10205666</v>
      </c>
      <c r="B92" s="99" t="s">
        <v>1237</v>
      </c>
      <c r="C92" s="100" t="s">
        <v>258</v>
      </c>
      <c r="D92" s="60">
        <v>800</v>
      </c>
      <c r="E92" s="56" t="s">
        <v>264</v>
      </c>
      <c r="F92" s="60">
        <v>5666</v>
      </c>
      <c r="G92" s="60" t="s">
        <v>282</v>
      </c>
      <c r="H92" s="60">
        <v>5765</v>
      </c>
      <c r="I92" s="60" t="s">
        <v>631</v>
      </c>
      <c r="J92" s="101">
        <v>3</v>
      </c>
      <c r="K92" s="97">
        <v>102</v>
      </c>
      <c r="L92" s="79" t="s">
        <v>659</v>
      </c>
    </row>
    <row r="93" spans="1:12" ht="13.5" customHeight="1">
      <c r="A93" s="91">
        <v>10205766</v>
      </c>
      <c r="B93" s="99" t="s">
        <v>1238</v>
      </c>
      <c r="C93" s="100" t="s">
        <v>258</v>
      </c>
      <c r="D93" s="60">
        <v>800</v>
      </c>
      <c r="E93" s="56" t="s">
        <v>264</v>
      </c>
      <c r="F93" s="60">
        <v>5766</v>
      </c>
      <c r="G93" s="60" t="s">
        <v>282</v>
      </c>
      <c r="H93" s="60">
        <v>5865</v>
      </c>
      <c r="I93" s="60" t="s">
        <v>632</v>
      </c>
      <c r="J93" s="101">
        <v>3</v>
      </c>
      <c r="K93" s="97">
        <v>102</v>
      </c>
      <c r="L93" s="79" t="s">
        <v>659</v>
      </c>
    </row>
    <row r="94" spans="1:12" ht="13.5" customHeight="1">
      <c r="A94" s="91">
        <v>10205866</v>
      </c>
      <c r="B94" s="99" t="s">
        <v>1239</v>
      </c>
      <c r="C94" s="100" t="s">
        <v>258</v>
      </c>
      <c r="D94" s="60">
        <v>800</v>
      </c>
      <c r="E94" s="56" t="s">
        <v>264</v>
      </c>
      <c r="F94" s="60">
        <v>5866</v>
      </c>
      <c r="G94" s="60" t="s">
        <v>282</v>
      </c>
      <c r="H94" s="60">
        <v>5965</v>
      </c>
      <c r="I94" s="60" t="s">
        <v>633</v>
      </c>
      <c r="J94" s="101">
        <v>3</v>
      </c>
      <c r="K94" s="97">
        <v>102</v>
      </c>
      <c r="L94" s="79" t="s">
        <v>659</v>
      </c>
    </row>
    <row r="95" spans="1:12" ht="13.5" customHeight="1">
      <c r="A95" s="91">
        <v>10205966</v>
      </c>
      <c r="B95" s="99" t="s">
        <v>1240</v>
      </c>
      <c r="C95" s="100" t="s">
        <v>258</v>
      </c>
      <c r="D95" s="60">
        <v>800</v>
      </c>
      <c r="E95" s="56" t="s">
        <v>264</v>
      </c>
      <c r="F95" s="60">
        <v>5966</v>
      </c>
      <c r="G95" s="60" t="s">
        <v>282</v>
      </c>
      <c r="H95" s="60">
        <v>6065</v>
      </c>
      <c r="I95" s="60" t="s">
        <v>634</v>
      </c>
      <c r="J95" s="101">
        <v>3</v>
      </c>
      <c r="K95" s="97">
        <v>102</v>
      </c>
      <c r="L95" s="79" t="s">
        <v>659</v>
      </c>
    </row>
    <row r="96" spans="1:12" ht="13.5" customHeight="1">
      <c r="A96" s="91">
        <v>10206066</v>
      </c>
      <c r="B96" s="99" t="s">
        <v>1241</v>
      </c>
      <c r="C96" s="100" t="s">
        <v>258</v>
      </c>
      <c r="D96" s="60">
        <v>800</v>
      </c>
      <c r="E96" s="56" t="s">
        <v>264</v>
      </c>
      <c r="F96" s="60">
        <v>6066</v>
      </c>
      <c r="G96" s="60" t="s">
        <v>282</v>
      </c>
      <c r="H96" s="60">
        <v>6165</v>
      </c>
      <c r="I96" s="60" t="s">
        <v>635</v>
      </c>
      <c r="J96" s="101">
        <v>4</v>
      </c>
      <c r="K96" s="97">
        <v>102</v>
      </c>
      <c r="L96" s="79" t="s">
        <v>659</v>
      </c>
    </row>
    <row r="97" spans="1:12" ht="13.5" customHeight="1">
      <c r="A97" s="91">
        <v>10206166</v>
      </c>
      <c r="B97" s="99" t="s">
        <v>1242</v>
      </c>
      <c r="C97" s="100" t="s">
        <v>258</v>
      </c>
      <c r="D97" s="60">
        <v>800</v>
      </c>
      <c r="E97" s="56" t="s">
        <v>264</v>
      </c>
      <c r="F97" s="60">
        <v>6166</v>
      </c>
      <c r="G97" s="60" t="s">
        <v>282</v>
      </c>
      <c r="H97" s="60">
        <v>6265</v>
      </c>
      <c r="I97" s="60" t="s">
        <v>636</v>
      </c>
      <c r="J97" s="101">
        <v>4</v>
      </c>
      <c r="K97" s="97">
        <v>102</v>
      </c>
      <c r="L97" s="79" t="s">
        <v>659</v>
      </c>
    </row>
    <row r="98" spans="1:12" ht="13.5" customHeight="1">
      <c r="A98" s="91">
        <v>10206266</v>
      </c>
      <c r="B98" s="99" t="s">
        <v>1243</v>
      </c>
      <c r="C98" s="100" t="s">
        <v>258</v>
      </c>
      <c r="D98" s="60">
        <v>800</v>
      </c>
      <c r="E98" s="56" t="s">
        <v>264</v>
      </c>
      <c r="F98" s="60">
        <v>6266</v>
      </c>
      <c r="G98" s="60" t="s">
        <v>282</v>
      </c>
      <c r="H98" s="60">
        <v>6365</v>
      </c>
      <c r="I98" s="60" t="s">
        <v>637</v>
      </c>
      <c r="J98" s="101">
        <v>4</v>
      </c>
      <c r="K98" s="97">
        <v>102</v>
      </c>
      <c r="L98" s="79" t="s">
        <v>659</v>
      </c>
    </row>
    <row r="99" spans="1:12" ht="13.5" customHeight="1">
      <c r="A99" s="91">
        <v>10206366</v>
      </c>
      <c r="B99" s="99" t="s">
        <v>1244</v>
      </c>
      <c r="C99" s="100" t="s">
        <v>258</v>
      </c>
      <c r="D99" s="60">
        <v>800</v>
      </c>
      <c r="E99" s="56" t="s">
        <v>264</v>
      </c>
      <c r="F99" s="60">
        <v>6366</v>
      </c>
      <c r="G99" s="60" t="s">
        <v>282</v>
      </c>
      <c r="H99" s="60">
        <v>6465</v>
      </c>
      <c r="I99" s="60" t="s">
        <v>638</v>
      </c>
      <c r="J99" s="101">
        <v>4</v>
      </c>
      <c r="K99" s="97">
        <v>102</v>
      </c>
      <c r="L99" s="79" t="s">
        <v>659</v>
      </c>
    </row>
    <row r="100" spans="1:12" ht="13.5" customHeight="1">
      <c r="A100" s="91">
        <v>10206466</v>
      </c>
      <c r="B100" s="99" t="s">
        <v>1245</v>
      </c>
      <c r="C100" s="100" t="s">
        <v>258</v>
      </c>
      <c r="D100" s="60">
        <v>800</v>
      </c>
      <c r="E100" s="56" t="s">
        <v>264</v>
      </c>
      <c r="F100" s="60">
        <v>6466</v>
      </c>
      <c r="G100" s="60" t="s">
        <v>282</v>
      </c>
      <c r="H100" s="60">
        <v>6565</v>
      </c>
      <c r="I100" s="60" t="s">
        <v>639</v>
      </c>
      <c r="J100" s="101">
        <v>4</v>
      </c>
      <c r="K100" s="97">
        <v>102</v>
      </c>
      <c r="L100" s="79" t="s">
        <v>659</v>
      </c>
    </row>
    <row r="101" spans="1:12" ht="13.5" customHeight="1">
      <c r="A101" s="91">
        <v>10206566</v>
      </c>
      <c r="B101" s="99" t="s">
        <v>1246</v>
      </c>
      <c r="C101" s="100" t="s">
        <v>258</v>
      </c>
      <c r="D101" s="60">
        <v>800</v>
      </c>
      <c r="E101" s="56" t="s">
        <v>264</v>
      </c>
      <c r="F101" s="60">
        <v>6566</v>
      </c>
      <c r="G101" s="60" t="s">
        <v>282</v>
      </c>
      <c r="H101" s="60">
        <v>6665</v>
      </c>
      <c r="I101" s="60" t="s">
        <v>640</v>
      </c>
      <c r="J101" s="101">
        <v>4</v>
      </c>
      <c r="K101" s="97">
        <v>102</v>
      </c>
      <c r="L101" s="79" t="s">
        <v>659</v>
      </c>
    </row>
    <row r="102" spans="1:12" ht="13.5" customHeight="1">
      <c r="A102" s="91">
        <v>10206666</v>
      </c>
      <c r="B102" s="99" t="s">
        <v>1247</v>
      </c>
      <c r="C102" s="100" t="s">
        <v>258</v>
      </c>
      <c r="D102" s="60">
        <v>800</v>
      </c>
      <c r="E102" s="56" t="s">
        <v>264</v>
      </c>
      <c r="F102" s="60">
        <v>6666</v>
      </c>
      <c r="G102" s="60" t="s">
        <v>282</v>
      </c>
      <c r="H102" s="60">
        <v>6765</v>
      </c>
      <c r="I102" s="60" t="s">
        <v>641</v>
      </c>
      <c r="J102" s="101">
        <v>4</v>
      </c>
      <c r="K102" s="97">
        <v>102</v>
      </c>
      <c r="L102" s="79" t="s">
        <v>659</v>
      </c>
    </row>
    <row r="103" spans="1:12" ht="13.5" customHeight="1">
      <c r="A103" s="91">
        <v>10206766</v>
      </c>
      <c r="B103" s="99" t="s">
        <v>1248</v>
      </c>
      <c r="C103" s="100" t="s">
        <v>258</v>
      </c>
      <c r="D103" s="60">
        <v>800</v>
      </c>
      <c r="E103" s="56" t="s">
        <v>264</v>
      </c>
      <c r="F103" s="60">
        <v>6766</v>
      </c>
      <c r="G103" s="60" t="s">
        <v>282</v>
      </c>
      <c r="H103" s="60">
        <v>6865</v>
      </c>
      <c r="I103" s="60" t="s">
        <v>642</v>
      </c>
      <c r="J103" s="101">
        <v>4</v>
      </c>
      <c r="K103" s="97">
        <v>102</v>
      </c>
      <c r="L103" s="79" t="s">
        <v>659</v>
      </c>
    </row>
    <row r="104" spans="1:12" ht="13.5" customHeight="1">
      <c r="A104" s="91">
        <v>10206866</v>
      </c>
      <c r="B104" s="99" t="s">
        <v>1249</v>
      </c>
      <c r="C104" s="100" t="s">
        <v>258</v>
      </c>
      <c r="D104" s="60">
        <v>800</v>
      </c>
      <c r="E104" s="56" t="s">
        <v>264</v>
      </c>
      <c r="F104" s="60">
        <v>6866</v>
      </c>
      <c r="G104" s="60" t="s">
        <v>282</v>
      </c>
      <c r="H104" s="60">
        <v>6965</v>
      </c>
      <c r="I104" s="60" t="s">
        <v>643</v>
      </c>
      <c r="J104" s="101">
        <v>5</v>
      </c>
      <c r="K104" s="97">
        <v>102</v>
      </c>
      <c r="L104" s="79" t="s">
        <v>659</v>
      </c>
    </row>
    <row r="105" spans="1:12" ht="13.5" customHeight="1">
      <c r="A105" s="91">
        <v>10206966</v>
      </c>
      <c r="B105" s="99" t="s">
        <v>1250</v>
      </c>
      <c r="C105" s="100" t="s">
        <v>258</v>
      </c>
      <c r="D105" s="60">
        <v>800</v>
      </c>
      <c r="E105" s="56" t="s">
        <v>264</v>
      </c>
      <c r="F105" s="60">
        <v>6966</v>
      </c>
      <c r="G105" s="60" t="s">
        <v>282</v>
      </c>
      <c r="H105" s="60">
        <v>7065</v>
      </c>
      <c r="I105" s="60" t="s">
        <v>644</v>
      </c>
      <c r="J105" s="101">
        <v>5</v>
      </c>
      <c r="K105" s="97">
        <v>102</v>
      </c>
      <c r="L105" s="79" t="s">
        <v>659</v>
      </c>
    </row>
    <row r="106" spans="1:12" ht="13.5" customHeight="1">
      <c r="A106" s="91">
        <v>10207066</v>
      </c>
      <c r="B106" s="99" t="s">
        <v>1251</v>
      </c>
      <c r="C106" s="100" t="s">
        <v>258</v>
      </c>
      <c r="D106" s="60">
        <v>800</v>
      </c>
      <c r="E106" s="56" t="s">
        <v>264</v>
      </c>
      <c r="F106" s="60">
        <v>7066</v>
      </c>
      <c r="G106" s="60" t="s">
        <v>282</v>
      </c>
      <c r="H106" s="60">
        <v>7165</v>
      </c>
      <c r="I106" s="60" t="s">
        <v>645</v>
      </c>
      <c r="J106" s="101">
        <v>5</v>
      </c>
      <c r="K106" s="97">
        <v>102</v>
      </c>
      <c r="L106" s="79" t="s">
        <v>659</v>
      </c>
    </row>
    <row r="107" spans="1:12" ht="13.5" customHeight="1">
      <c r="A107" s="91">
        <v>10207166</v>
      </c>
      <c r="B107" s="99" t="s">
        <v>1252</v>
      </c>
      <c r="C107" s="100" t="s">
        <v>258</v>
      </c>
      <c r="D107" s="60">
        <v>800</v>
      </c>
      <c r="E107" s="56" t="s">
        <v>264</v>
      </c>
      <c r="F107" s="60">
        <v>7166</v>
      </c>
      <c r="G107" s="60" t="s">
        <v>282</v>
      </c>
      <c r="H107" s="60">
        <v>7265</v>
      </c>
      <c r="I107" s="60" t="s">
        <v>646</v>
      </c>
      <c r="J107" s="101">
        <v>5</v>
      </c>
      <c r="K107" s="97">
        <v>102</v>
      </c>
      <c r="L107" s="79" t="s">
        <v>659</v>
      </c>
    </row>
    <row r="108" spans="1:12" ht="13.5" customHeight="1">
      <c r="A108" s="91">
        <v>10207266</v>
      </c>
      <c r="B108" s="99" t="s">
        <v>1253</v>
      </c>
      <c r="C108" s="100" t="s">
        <v>258</v>
      </c>
      <c r="D108" s="60">
        <v>800</v>
      </c>
      <c r="E108" s="56" t="s">
        <v>264</v>
      </c>
      <c r="F108" s="60">
        <v>7266</v>
      </c>
      <c r="G108" s="60" t="s">
        <v>282</v>
      </c>
      <c r="H108" s="60">
        <v>7365</v>
      </c>
      <c r="I108" s="60" t="s">
        <v>647</v>
      </c>
      <c r="J108" s="101">
        <v>5</v>
      </c>
      <c r="K108" s="97">
        <v>102</v>
      </c>
      <c r="L108" s="79" t="s">
        <v>659</v>
      </c>
    </row>
    <row r="109" spans="1:12" ht="13.5" customHeight="1">
      <c r="A109" s="91">
        <v>10207366</v>
      </c>
      <c r="B109" s="99" t="s">
        <v>1254</v>
      </c>
      <c r="C109" s="100" t="s">
        <v>258</v>
      </c>
      <c r="D109" s="60">
        <v>800</v>
      </c>
      <c r="E109" s="56" t="s">
        <v>264</v>
      </c>
      <c r="F109" s="60">
        <v>7366</v>
      </c>
      <c r="G109" s="60" t="s">
        <v>282</v>
      </c>
      <c r="H109" s="60">
        <v>7465</v>
      </c>
      <c r="I109" s="60" t="s">
        <v>648</v>
      </c>
      <c r="J109" s="101">
        <v>5</v>
      </c>
      <c r="K109" s="97">
        <v>102</v>
      </c>
      <c r="L109" s="79" t="s">
        <v>659</v>
      </c>
    </row>
    <row r="110" spans="1:12" ht="13.5" customHeight="1">
      <c r="A110" s="91">
        <v>10207466</v>
      </c>
      <c r="B110" s="99" t="s">
        <v>1255</v>
      </c>
      <c r="C110" s="100" t="s">
        <v>258</v>
      </c>
      <c r="D110" s="60">
        <v>800</v>
      </c>
      <c r="E110" s="56" t="s">
        <v>264</v>
      </c>
      <c r="F110" s="60">
        <v>7466</v>
      </c>
      <c r="G110" s="60" t="s">
        <v>282</v>
      </c>
      <c r="H110" s="60">
        <v>7565</v>
      </c>
      <c r="I110" s="60" t="s">
        <v>649</v>
      </c>
      <c r="J110" s="101">
        <v>5</v>
      </c>
      <c r="K110" s="97">
        <v>102</v>
      </c>
      <c r="L110" s="79" t="s">
        <v>659</v>
      </c>
    </row>
    <row r="111" spans="1:12" ht="13.5" customHeight="1">
      <c r="A111" s="91">
        <v>10207566</v>
      </c>
      <c r="B111" s="99" t="s">
        <v>1256</v>
      </c>
      <c r="C111" s="100" t="s">
        <v>258</v>
      </c>
      <c r="D111" s="60">
        <v>800</v>
      </c>
      <c r="E111" s="56" t="s">
        <v>264</v>
      </c>
      <c r="F111" s="60">
        <v>7566</v>
      </c>
      <c r="G111" s="60" t="s">
        <v>282</v>
      </c>
      <c r="H111" s="60">
        <v>7665</v>
      </c>
      <c r="I111" s="60" t="s">
        <v>650</v>
      </c>
      <c r="J111" s="101">
        <v>5</v>
      </c>
      <c r="K111" s="97">
        <v>102</v>
      </c>
      <c r="L111" s="79" t="s">
        <v>659</v>
      </c>
    </row>
    <row r="112" spans="1:12" ht="13.5" customHeight="1">
      <c r="A112" s="91">
        <v>10207666</v>
      </c>
      <c r="B112" s="99" t="s">
        <v>1257</v>
      </c>
      <c r="C112" s="100" t="s">
        <v>258</v>
      </c>
      <c r="D112" s="60">
        <v>800</v>
      </c>
      <c r="E112" s="56" t="s">
        <v>264</v>
      </c>
      <c r="F112" s="60">
        <v>7666</v>
      </c>
      <c r="G112" s="60" t="s">
        <v>282</v>
      </c>
      <c r="H112" s="60">
        <v>7765</v>
      </c>
      <c r="I112" s="60" t="s">
        <v>651</v>
      </c>
      <c r="J112" s="101">
        <v>6</v>
      </c>
      <c r="K112" s="97">
        <v>102</v>
      </c>
      <c r="L112" s="79" t="s">
        <v>659</v>
      </c>
    </row>
    <row r="113" spans="1:12" ht="13.5" customHeight="1">
      <c r="A113" s="91">
        <v>10207766</v>
      </c>
      <c r="B113" s="99" t="s">
        <v>1258</v>
      </c>
      <c r="C113" s="100" t="s">
        <v>258</v>
      </c>
      <c r="D113" s="60">
        <v>800</v>
      </c>
      <c r="E113" s="56" t="s">
        <v>264</v>
      </c>
      <c r="F113" s="60">
        <v>7766</v>
      </c>
      <c r="G113" s="60" t="s">
        <v>282</v>
      </c>
      <c r="H113" s="60">
        <v>7865</v>
      </c>
      <c r="I113" s="60" t="s">
        <v>652</v>
      </c>
      <c r="J113" s="101">
        <v>6</v>
      </c>
      <c r="K113" s="97">
        <v>102</v>
      </c>
      <c r="L113" s="79" t="s">
        <v>659</v>
      </c>
    </row>
    <row r="114" spans="1:12" ht="13.5" customHeight="1">
      <c r="A114" s="91">
        <v>10207866</v>
      </c>
      <c r="B114" s="99" t="s">
        <v>1259</v>
      </c>
      <c r="C114" s="100" t="s">
        <v>258</v>
      </c>
      <c r="D114" s="60">
        <v>800</v>
      </c>
      <c r="E114" s="56" t="s">
        <v>264</v>
      </c>
      <c r="F114" s="60">
        <v>7866</v>
      </c>
      <c r="G114" s="60" t="s">
        <v>282</v>
      </c>
      <c r="H114" s="60">
        <v>7965</v>
      </c>
      <c r="I114" s="60" t="s">
        <v>653</v>
      </c>
      <c r="J114" s="101">
        <v>6</v>
      </c>
      <c r="K114" s="97">
        <v>102</v>
      </c>
      <c r="L114" s="79" t="s">
        <v>659</v>
      </c>
    </row>
    <row r="115" spans="1:12" ht="13.5" customHeight="1">
      <c r="A115" s="91">
        <v>10207966</v>
      </c>
      <c r="B115" s="102" t="s">
        <v>1260</v>
      </c>
      <c r="C115" s="103" t="s">
        <v>258</v>
      </c>
      <c r="D115" s="104">
        <v>800</v>
      </c>
      <c r="E115" s="105" t="s">
        <v>264</v>
      </c>
      <c r="F115" s="104">
        <v>7966</v>
      </c>
      <c r="G115" s="104" t="s">
        <v>282</v>
      </c>
      <c r="H115" s="104">
        <v>8065</v>
      </c>
      <c r="I115" s="104" t="s">
        <v>654</v>
      </c>
      <c r="J115" s="106">
        <v>6</v>
      </c>
      <c r="K115" s="97">
        <v>102</v>
      </c>
      <c r="L115" s="79" t="s">
        <v>659</v>
      </c>
    </row>
    <row r="116" spans="1:12" ht="13.5" customHeight="1">
      <c r="A116" s="91">
        <v>10300000</v>
      </c>
      <c r="B116" s="92" t="s">
        <v>1261</v>
      </c>
      <c r="C116" s="93" t="s">
        <v>258</v>
      </c>
      <c r="D116" s="94">
        <v>900</v>
      </c>
      <c r="E116" s="94" t="s">
        <v>596</v>
      </c>
      <c r="F116" s="95">
        <v>0</v>
      </c>
      <c r="G116" s="95" t="s">
        <v>282</v>
      </c>
      <c r="H116" s="95">
        <v>2640</v>
      </c>
      <c r="I116" s="95" t="s">
        <v>597</v>
      </c>
      <c r="J116" s="96">
        <v>0</v>
      </c>
      <c r="K116" s="97">
        <v>103</v>
      </c>
      <c r="L116" s="79" t="s">
        <v>659</v>
      </c>
    </row>
    <row r="117" spans="1:12" ht="13.5" customHeight="1">
      <c r="A117" s="91">
        <v>10302641</v>
      </c>
      <c r="B117" s="99" t="s">
        <v>1262</v>
      </c>
      <c r="C117" s="100" t="s">
        <v>258</v>
      </c>
      <c r="D117" s="56">
        <v>900</v>
      </c>
      <c r="E117" s="56" t="s">
        <v>596</v>
      </c>
      <c r="F117" s="60">
        <v>2641</v>
      </c>
      <c r="G117" s="60" t="s">
        <v>282</v>
      </c>
      <c r="H117" s="60">
        <v>2715</v>
      </c>
      <c r="I117" s="60" t="s">
        <v>599</v>
      </c>
      <c r="J117" s="101">
        <v>0</v>
      </c>
      <c r="K117" s="97">
        <v>103</v>
      </c>
      <c r="L117" s="79" t="s">
        <v>659</v>
      </c>
    </row>
    <row r="118" spans="1:12" ht="13.5" customHeight="1">
      <c r="A118" s="91">
        <v>10302716</v>
      </c>
      <c r="B118" s="99" t="s">
        <v>1263</v>
      </c>
      <c r="C118" s="100" t="s">
        <v>258</v>
      </c>
      <c r="D118" s="56">
        <v>900</v>
      </c>
      <c r="E118" s="56" t="s">
        <v>596</v>
      </c>
      <c r="F118" s="60">
        <v>2716</v>
      </c>
      <c r="G118" s="60" t="s">
        <v>282</v>
      </c>
      <c r="H118" s="60">
        <v>2765</v>
      </c>
      <c r="I118" s="60" t="s">
        <v>600</v>
      </c>
      <c r="J118" s="101">
        <v>0</v>
      </c>
      <c r="K118" s="97">
        <v>103</v>
      </c>
      <c r="L118" s="79" t="s">
        <v>659</v>
      </c>
    </row>
    <row r="119" spans="1:12" ht="13.5" customHeight="1">
      <c r="A119" s="91">
        <v>10302766</v>
      </c>
      <c r="B119" s="99" t="s">
        <v>1264</v>
      </c>
      <c r="C119" s="100" t="s">
        <v>258</v>
      </c>
      <c r="D119" s="56">
        <v>900</v>
      </c>
      <c r="E119" s="56" t="s">
        <v>596</v>
      </c>
      <c r="F119" s="60">
        <v>2766</v>
      </c>
      <c r="G119" s="60" t="s">
        <v>282</v>
      </c>
      <c r="H119" s="60">
        <v>2865</v>
      </c>
      <c r="I119" s="60" t="s">
        <v>602</v>
      </c>
      <c r="J119" s="101">
        <v>0</v>
      </c>
      <c r="K119" s="97">
        <v>103</v>
      </c>
      <c r="L119" s="79" t="s">
        <v>659</v>
      </c>
    </row>
    <row r="120" spans="1:12" ht="13.5" customHeight="1">
      <c r="A120" s="91">
        <v>10302866</v>
      </c>
      <c r="B120" s="99" t="s">
        <v>1265</v>
      </c>
      <c r="C120" s="100" t="s">
        <v>258</v>
      </c>
      <c r="D120" s="56">
        <v>900</v>
      </c>
      <c r="E120" s="56" t="s">
        <v>596</v>
      </c>
      <c r="F120" s="60">
        <v>2866</v>
      </c>
      <c r="G120" s="60" t="s">
        <v>282</v>
      </c>
      <c r="H120" s="60">
        <v>2965</v>
      </c>
      <c r="I120" s="60" t="s">
        <v>603</v>
      </c>
      <c r="J120" s="101">
        <v>0</v>
      </c>
      <c r="K120" s="97">
        <v>103</v>
      </c>
      <c r="L120" s="79" t="s">
        <v>659</v>
      </c>
    </row>
    <row r="121" spans="1:12" ht="13.5" customHeight="1">
      <c r="A121" s="91">
        <v>10302966</v>
      </c>
      <c r="B121" s="99" t="s">
        <v>1266</v>
      </c>
      <c r="C121" s="100" t="s">
        <v>258</v>
      </c>
      <c r="D121" s="56">
        <v>900</v>
      </c>
      <c r="E121" s="56" t="s">
        <v>596</v>
      </c>
      <c r="F121" s="60">
        <v>2966</v>
      </c>
      <c r="G121" s="60" t="s">
        <v>282</v>
      </c>
      <c r="H121" s="60">
        <v>3065</v>
      </c>
      <c r="I121" s="60" t="s">
        <v>604</v>
      </c>
      <c r="J121" s="101">
        <v>0</v>
      </c>
      <c r="K121" s="97">
        <v>103</v>
      </c>
      <c r="L121" s="79" t="s">
        <v>659</v>
      </c>
    </row>
    <row r="122" spans="1:12" ht="13.5" customHeight="1">
      <c r="A122" s="91">
        <v>10303066</v>
      </c>
      <c r="B122" s="99" t="s">
        <v>1267</v>
      </c>
      <c r="C122" s="100" t="s">
        <v>258</v>
      </c>
      <c r="D122" s="56">
        <v>900</v>
      </c>
      <c r="E122" s="56" t="s">
        <v>596</v>
      </c>
      <c r="F122" s="60">
        <v>3066</v>
      </c>
      <c r="G122" s="60" t="s">
        <v>282</v>
      </c>
      <c r="H122" s="60">
        <v>3165</v>
      </c>
      <c r="I122" s="60" t="s">
        <v>605</v>
      </c>
      <c r="J122" s="101">
        <v>0</v>
      </c>
      <c r="K122" s="97">
        <v>103</v>
      </c>
      <c r="L122" s="79" t="s">
        <v>659</v>
      </c>
    </row>
    <row r="123" spans="1:12" ht="13.5" customHeight="1">
      <c r="A123" s="91">
        <v>10303166</v>
      </c>
      <c r="B123" s="99" t="s">
        <v>1268</v>
      </c>
      <c r="C123" s="100" t="s">
        <v>258</v>
      </c>
      <c r="D123" s="56">
        <v>900</v>
      </c>
      <c r="E123" s="56" t="s">
        <v>596</v>
      </c>
      <c r="F123" s="60">
        <v>3166</v>
      </c>
      <c r="G123" s="60" t="s">
        <v>282</v>
      </c>
      <c r="H123" s="60">
        <v>3265</v>
      </c>
      <c r="I123" s="60" t="s">
        <v>606</v>
      </c>
      <c r="J123" s="101">
        <v>0</v>
      </c>
      <c r="K123" s="97">
        <v>103</v>
      </c>
      <c r="L123" s="79" t="s">
        <v>659</v>
      </c>
    </row>
    <row r="124" spans="1:12" ht="13.5" customHeight="1">
      <c r="A124" s="91">
        <v>10303266</v>
      </c>
      <c r="B124" s="99" t="s">
        <v>1269</v>
      </c>
      <c r="C124" s="100" t="s">
        <v>258</v>
      </c>
      <c r="D124" s="56">
        <v>900</v>
      </c>
      <c r="E124" s="56" t="s">
        <v>596</v>
      </c>
      <c r="F124" s="60">
        <v>3266</v>
      </c>
      <c r="G124" s="60" t="s">
        <v>282</v>
      </c>
      <c r="H124" s="60">
        <v>3365</v>
      </c>
      <c r="I124" s="60" t="s">
        <v>607</v>
      </c>
      <c r="J124" s="101">
        <v>0</v>
      </c>
      <c r="K124" s="97">
        <v>103</v>
      </c>
      <c r="L124" s="79" t="s">
        <v>659</v>
      </c>
    </row>
    <row r="125" spans="1:12" ht="13.5" customHeight="1">
      <c r="A125" s="91">
        <v>10303366</v>
      </c>
      <c r="B125" s="99" t="s">
        <v>1270</v>
      </c>
      <c r="C125" s="100" t="s">
        <v>258</v>
      </c>
      <c r="D125" s="56">
        <v>900</v>
      </c>
      <c r="E125" s="56" t="s">
        <v>596</v>
      </c>
      <c r="F125" s="60">
        <v>3366</v>
      </c>
      <c r="G125" s="60" t="s">
        <v>282</v>
      </c>
      <c r="H125" s="60">
        <v>3465</v>
      </c>
      <c r="I125" s="60" t="s">
        <v>608</v>
      </c>
      <c r="J125" s="101">
        <v>0</v>
      </c>
      <c r="K125" s="97">
        <v>103</v>
      </c>
      <c r="L125" s="79" t="s">
        <v>659</v>
      </c>
    </row>
    <row r="126" spans="1:12" ht="13.5" customHeight="1">
      <c r="A126" s="91">
        <v>10303466</v>
      </c>
      <c r="B126" s="99" t="s">
        <v>1271</v>
      </c>
      <c r="C126" s="100" t="s">
        <v>258</v>
      </c>
      <c r="D126" s="56">
        <v>900</v>
      </c>
      <c r="E126" s="56" t="s">
        <v>596</v>
      </c>
      <c r="F126" s="60">
        <v>3466</v>
      </c>
      <c r="G126" s="60" t="s">
        <v>282</v>
      </c>
      <c r="H126" s="60">
        <v>3565</v>
      </c>
      <c r="I126" s="60" t="s">
        <v>609</v>
      </c>
      <c r="J126" s="101">
        <v>0</v>
      </c>
      <c r="K126" s="97">
        <v>103</v>
      </c>
      <c r="L126" s="79" t="s">
        <v>659</v>
      </c>
    </row>
    <row r="127" spans="1:12" ht="13.5" customHeight="1">
      <c r="A127" s="91">
        <v>10303566</v>
      </c>
      <c r="B127" s="99" t="s">
        <v>1272</v>
      </c>
      <c r="C127" s="100" t="s">
        <v>258</v>
      </c>
      <c r="D127" s="56">
        <v>900</v>
      </c>
      <c r="E127" s="56" t="s">
        <v>596</v>
      </c>
      <c r="F127" s="60">
        <v>3566</v>
      </c>
      <c r="G127" s="60" t="s">
        <v>282</v>
      </c>
      <c r="H127" s="60">
        <v>3665</v>
      </c>
      <c r="I127" s="60" t="s">
        <v>610</v>
      </c>
      <c r="J127" s="101">
        <v>0</v>
      </c>
      <c r="K127" s="97">
        <v>103</v>
      </c>
      <c r="L127" s="79" t="s">
        <v>659</v>
      </c>
    </row>
    <row r="128" spans="1:12" ht="13.5" customHeight="1">
      <c r="A128" s="91">
        <v>10303666</v>
      </c>
      <c r="B128" s="99" t="s">
        <v>1273</v>
      </c>
      <c r="C128" s="100" t="s">
        <v>258</v>
      </c>
      <c r="D128" s="56">
        <v>900</v>
      </c>
      <c r="E128" s="56" t="s">
        <v>596</v>
      </c>
      <c r="F128" s="60">
        <v>3666</v>
      </c>
      <c r="G128" s="60" t="s">
        <v>282</v>
      </c>
      <c r="H128" s="60">
        <v>3765</v>
      </c>
      <c r="I128" s="60" t="s">
        <v>611</v>
      </c>
      <c r="J128" s="101">
        <v>1</v>
      </c>
      <c r="K128" s="97">
        <v>103</v>
      </c>
      <c r="L128" s="79" t="s">
        <v>659</v>
      </c>
    </row>
    <row r="129" spans="1:12" ht="13.5" customHeight="1">
      <c r="A129" s="91">
        <v>10303766</v>
      </c>
      <c r="B129" s="99" t="s">
        <v>1274</v>
      </c>
      <c r="C129" s="100" t="s">
        <v>258</v>
      </c>
      <c r="D129" s="56">
        <v>900</v>
      </c>
      <c r="E129" s="56" t="s">
        <v>596</v>
      </c>
      <c r="F129" s="60">
        <v>3766</v>
      </c>
      <c r="G129" s="60" t="s">
        <v>282</v>
      </c>
      <c r="H129" s="60">
        <v>3865</v>
      </c>
      <c r="I129" s="60" t="s">
        <v>612</v>
      </c>
      <c r="J129" s="101">
        <v>1</v>
      </c>
      <c r="K129" s="97">
        <v>103</v>
      </c>
      <c r="L129" s="79" t="s">
        <v>659</v>
      </c>
    </row>
    <row r="130" spans="1:12" ht="13.5" customHeight="1">
      <c r="A130" s="91">
        <v>10303866</v>
      </c>
      <c r="B130" s="99" t="s">
        <v>1275</v>
      </c>
      <c r="C130" s="100" t="s">
        <v>258</v>
      </c>
      <c r="D130" s="56">
        <v>900</v>
      </c>
      <c r="E130" s="56" t="s">
        <v>596</v>
      </c>
      <c r="F130" s="60">
        <v>3866</v>
      </c>
      <c r="G130" s="60" t="s">
        <v>282</v>
      </c>
      <c r="H130" s="60">
        <v>3965</v>
      </c>
      <c r="I130" s="60" t="s">
        <v>613</v>
      </c>
      <c r="J130" s="101">
        <v>1</v>
      </c>
      <c r="K130" s="97">
        <v>103</v>
      </c>
      <c r="L130" s="79" t="s">
        <v>659</v>
      </c>
    </row>
    <row r="131" spans="1:12" ht="13.5" customHeight="1">
      <c r="A131" s="91">
        <v>10303966</v>
      </c>
      <c r="B131" s="99" t="s">
        <v>1276</v>
      </c>
      <c r="C131" s="100" t="s">
        <v>258</v>
      </c>
      <c r="D131" s="56">
        <v>900</v>
      </c>
      <c r="E131" s="56" t="s">
        <v>596</v>
      </c>
      <c r="F131" s="60">
        <v>3966</v>
      </c>
      <c r="G131" s="60" t="s">
        <v>282</v>
      </c>
      <c r="H131" s="60">
        <v>4065</v>
      </c>
      <c r="I131" s="60" t="s">
        <v>614</v>
      </c>
      <c r="J131" s="101">
        <v>1</v>
      </c>
      <c r="K131" s="97">
        <v>103</v>
      </c>
      <c r="L131" s="79" t="s">
        <v>659</v>
      </c>
    </row>
    <row r="132" spans="1:12" ht="13.5" customHeight="1">
      <c r="A132" s="91">
        <v>10304066</v>
      </c>
      <c r="B132" s="99" t="s">
        <v>1277</v>
      </c>
      <c r="C132" s="100" t="s">
        <v>258</v>
      </c>
      <c r="D132" s="56">
        <v>900</v>
      </c>
      <c r="E132" s="56" t="s">
        <v>596</v>
      </c>
      <c r="F132" s="60">
        <v>4066</v>
      </c>
      <c r="G132" s="60" t="s">
        <v>282</v>
      </c>
      <c r="H132" s="60">
        <v>4165</v>
      </c>
      <c r="I132" s="60" t="s">
        <v>615</v>
      </c>
      <c r="J132" s="101">
        <v>1</v>
      </c>
      <c r="K132" s="97">
        <v>103</v>
      </c>
      <c r="L132" s="79" t="s">
        <v>659</v>
      </c>
    </row>
    <row r="133" spans="1:12" ht="13.5" customHeight="1">
      <c r="A133" s="91">
        <v>10304166</v>
      </c>
      <c r="B133" s="99" t="s">
        <v>1278</v>
      </c>
      <c r="C133" s="100" t="s">
        <v>258</v>
      </c>
      <c r="D133" s="56">
        <v>900</v>
      </c>
      <c r="E133" s="56" t="s">
        <v>596</v>
      </c>
      <c r="F133" s="60">
        <v>4166</v>
      </c>
      <c r="G133" s="60" t="s">
        <v>282</v>
      </c>
      <c r="H133" s="60">
        <v>4265</v>
      </c>
      <c r="I133" s="60" t="s">
        <v>616</v>
      </c>
      <c r="J133" s="101">
        <v>1</v>
      </c>
      <c r="K133" s="97">
        <v>103</v>
      </c>
      <c r="L133" s="79" t="s">
        <v>659</v>
      </c>
    </row>
    <row r="134" spans="1:12" ht="13.5" customHeight="1">
      <c r="A134" s="91">
        <v>10304266</v>
      </c>
      <c r="B134" s="99" t="s">
        <v>1279</v>
      </c>
      <c r="C134" s="100" t="s">
        <v>258</v>
      </c>
      <c r="D134" s="56">
        <v>900</v>
      </c>
      <c r="E134" s="56" t="s">
        <v>596</v>
      </c>
      <c r="F134" s="60">
        <v>4266</v>
      </c>
      <c r="G134" s="60" t="s">
        <v>282</v>
      </c>
      <c r="H134" s="60">
        <v>4365</v>
      </c>
      <c r="I134" s="60" t="s">
        <v>617</v>
      </c>
      <c r="J134" s="101">
        <v>1</v>
      </c>
      <c r="K134" s="97">
        <v>103</v>
      </c>
      <c r="L134" s="79" t="s">
        <v>659</v>
      </c>
    </row>
    <row r="135" spans="1:12" ht="13.5" customHeight="1">
      <c r="A135" s="91">
        <v>10304366</v>
      </c>
      <c r="B135" s="99" t="s">
        <v>1280</v>
      </c>
      <c r="C135" s="100" t="s">
        <v>258</v>
      </c>
      <c r="D135" s="56">
        <v>900</v>
      </c>
      <c r="E135" s="56" t="s">
        <v>596</v>
      </c>
      <c r="F135" s="60">
        <v>4366</v>
      </c>
      <c r="G135" s="60" t="s">
        <v>282</v>
      </c>
      <c r="H135" s="60">
        <v>4465</v>
      </c>
      <c r="I135" s="60" t="s">
        <v>618</v>
      </c>
      <c r="J135" s="101">
        <v>1</v>
      </c>
      <c r="K135" s="97">
        <v>103</v>
      </c>
      <c r="L135" s="79" t="s">
        <v>659</v>
      </c>
    </row>
    <row r="136" spans="1:12" ht="13.5" customHeight="1">
      <c r="A136" s="91">
        <v>10304466</v>
      </c>
      <c r="B136" s="99" t="s">
        <v>1281</v>
      </c>
      <c r="C136" s="100" t="s">
        <v>258</v>
      </c>
      <c r="D136" s="56">
        <v>900</v>
      </c>
      <c r="E136" s="56" t="s">
        <v>596</v>
      </c>
      <c r="F136" s="60">
        <v>4466</v>
      </c>
      <c r="G136" s="60" t="s">
        <v>282</v>
      </c>
      <c r="H136" s="60">
        <v>4565</v>
      </c>
      <c r="I136" s="60" t="s">
        <v>619</v>
      </c>
      <c r="J136" s="101">
        <v>2</v>
      </c>
      <c r="K136" s="97">
        <v>103</v>
      </c>
      <c r="L136" s="79" t="s">
        <v>659</v>
      </c>
    </row>
    <row r="137" spans="1:12" ht="13.5" customHeight="1">
      <c r="A137" s="91">
        <v>10304566</v>
      </c>
      <c r="B137" s="99" t="s">
        <v>1282</v>
      </c>
      <c r="C137" s="100" t="s">
        <v>258</v>
      </c>
      <c r="D137" s="56">
        <v>900</v>
      </c>
      <c r="E137" s="56" t="s">
        <v>596</v>
      </c>
      <c r="F137" s="60">
        <v>4566</v>
      </c>
      <c r="G137" s="60" t="s">
        <v>282</v>
      </c>
      <c r="H137" s="60">
        <v>4665</v>
      </c>
      <c r="I137" s="60" t="s">
        <v>620</v>
      </c>
      <c r="J137" s="101">
        <v>2</v>
      </c>
      <c r="K137" s="97">
        <v>103</v>
      </c>
      <c r="L137" s="79" t="s">
        <v>659</v>
      </c>
    </row>
    <row r="138" spans="1:12" ht="13.5" customHeight="1">
      <c r="A138" s="91">
        <v>10304666</v>
      </c>
      <c r="B138" s="99" t="s">
        <v>1283</v>
      </c>
      <c r="C138" s="100" t="s">
        <v>258</v>
      </c>
      <c r="D138" s="56">
        <v>900</v>
      </c>
      <c r="E138" s="56" t="s">
        <v>596</v>
      </c>
      <c r="F138" s="60">
        <v>4666</v>
      </c>
      <c r="G138" s="60" t="s">
        <v>282</v>
      </c>
      <c r="H138" s="60">
        <v>4765</v>
      </c>
      <c r="I138" s="60" t="s">
        <v>621</v>
      </c>
      <c r="J138" s="101">
        <v>2</v>
      </c>
      <c r="K138" s="97">
        <v>103</v>
      </c>
      <c r="L138" s="79" t="s">
        <v>659</v>
      </c>
    </row>
    <row r="139" spans="1:12" ht="13.5" customHeight="1">
      <c r="A139" s="91">
        <v>10304766</v>
      </c>
      <c r="B139" s="99" t="s">
        <v>1284</v>
      </c>
      <c r="C139" s="100" t="s">
        <v>258</v>
      </c>
      <c r="D139" s="56">
        <v>900</v>
      </c>
      <c r="E139" s="56" t="s">
        <v>596</v>
      </c>
      <c r="F139" s="60">
        <v>4766</v>
      </c>
      <c r="G139" s="60" t="s">
        <v>282</v>
      </c>
      <c r="H139" s="60">
        <v>4865</v>
      </c>
      <c r="I139" s="60" t="s">
        <v>622</v>
      </c>
      <c r="J139" s="101">
        <v>2</v>
      </c>
      <c r="K139" s="97">
        <v>103</v>
      </c>
      <c r="L139" s="79" t="s">
        <v>659</v>
      </c>
    </row>
    <row r="140" spans="1:12" ht="13.5" customHeight="1">
      <c r="A140" s="91">
        <v>10304866</v>
      </c>
      <c r="B140" s="99" t="s">
        <v>1285</v>
      </c>
      <c r="C140" s="100" t="s">
        <v>258</v>
      </c>
      <c r="D140" s="56">
        <v>900</v>
      </c>
      <c r="E140" s="56" t="s">
        <v>596</v>
      </c>
      <c r="F140" s="60">
        <v>4866</v>
      </c>
      <c r="G140" s="60" t="s">
        <v>282</v>
      </c>
      <c r="H140" s="60">
        <v>4965</v>
      </c>
      <c r="I140" s="60" t="s">
        <v>623</v>
      </c>
      <c r="J140" s="101">
        <v>2</v>
      </c>
      <c r="K140" s="97">
        <v>103</v>
      </c>
      <c r="L140" s="79" t="s">
        <v>659</v>
      </c>
    </row>
    <row r="141" spans="1:12" ht="13.5" customHeight="1">
      <c r="A141" s="91">
        <v>10304966</v>
      </c>
      <c r="B141" s="99" t="s">
        <v>1286</v>
      </c>
      <c r="C141" s="100" t="s">
        <v>258</v>
      </c>
      <c r="D141" s="56">
        <v>900</v>
      </c>
      <c r="E141" s="56" t="s">
        <v>596</v>
      </c>
      <c r="F141" s="60">
        <v>4966</v>
      </c>
      <c r="G141" s="60" t="s">
        <v>282</v>
      </c>
      <c r="H141" s="60">
        <v>5065</v>
      </c>
      <c r="I141" s="60" t="s">
        <v>624</v>
      </c>
      <c r="J141" s="101">
        <v>2</v>
      </c>
      <c r="K141" s="97">
        <v>103</v>
      </c>
      <c r="L141" s="79" t="s">
        <v>659</v>
      </c>
    </row>
    <row r="142" spans="1:12" ht="13.5" customHeight="1">
      <c r="A142" s="91">
        <v>10305066</v>
      </c>
      <c r="B142" s="99" t="s">
        <v>1287</v>
      </c>
      <c r="C142" s="100" t="s">
        <v>258</v>
      </c>
      <c r="D142" s="56">
        <v>900</v>
      </c>
      <c r="E142" s="56" t="s">
        <v>596</v>
      </c>
      <c r="F142" s="60">
        <v>5066</v>
      </c>
      <c r="G142" s="60" t="s">
        <v>282</v>
      </c>
      <c r="H142" s="60">
        <v>5165</v>
      </c>
      <c r="I142" s="60" t="s">
        <v>625</v>
      </c>
      <c r="J142" s="101">
        <v>2</v>
      </c>
      <c r="K142" s="97">
        <v>103</v>
      </c>
      <c r="L142" s="79" t="s">
        <v>659</v>
      </c>
    </row>
    <row r="143" spans="1:12" ht="13.5" customHeight="1">
      <c r="A143" s="91">
        <v>10305166</v>
      </c>
      <c r="B143" s="99" t="s">
        <v>1288</v>
      </c>
      <c r="C143" s="100" t="s">
        <v>258</v>
      </c>
      <c r="D143" s="56">
        <v>900</v>
      </c>
      <c r="E143" s="56" t="s">
        <v>596</v>
      </c>
      <c r="F143" s="60">
        <v>5166</v>
      </c>
      <c r="G143" s="60" t="s">
        <v>282</v>
      </c>
      <c r="H143" s="60">
        <v>5265</v>
      </c>
      <c r="I143" s="60" t="s">
        <v>626</v>
      </c>
      <c r="J143" s="101">
        <v>2</v>
      </c>
      <c r="K143" s="97">
        <v>103</v>
      </c>
      <c r="L143" s="79" t="s">
        <v>659</v>
      </c>
    </row>
    <row r="144" spans="1:12" ht="13.5" customHeight="1">
      <c r="A144" s="91">
        <v>10305266</v>
      </c>
      <c r="B144" s="99" t="s">
        <v>1289</v>
      </c>
      <c r="C144" s="100" t="s">
        <v>258</v>
      </c>
      <c r="D144" s="56">
        <v>900</v>
      </c>
      <c r="E144" s="56" t="s">
        <v>596</v>
      </c>
      <c r="F144" s="60">
        <v>5266</v>
      </c>
      <c r="G144" s="60" t="s">
        <v>282</v>
      </c>
      <c r="H144" s="60">
        <v>5365</v>
      </c>
      <c r="I144" s="60" t="s">
        <v>627</v>
      </c>
      <c r="J144" s="101">
        <v>3</v>
      </c>
      <c r="K144" s="97">
        <v>103</v>
      </c>
      <c r="L144" s="79" t="s">
        <v>659</v>
      </c>
    </row>
    <row r="145" spans="1:12" ht="13.5" customHeight="1">
      <c r="A145" s="91">
        <v>10305366</v>
      </c>
      <c r="B145" s="99" t="s">
        <v>1290</v>
      </c>
      <c r="C145" s="100" t="s">
        <v>258</v>
      </c>
      <c r="D145" s="56">
        <v>900</v>
      </c>
      <c r="E145" s="56" t="s">
        <v>596</v>
      </c>
      <c r="F145" s="60">
        <v>5366</v>
      </c>
      <c r="G145" s="60" t="s">
        <v>282</v>
      </c>
      <c r="H145" s="60">
        <v>5465</v>
      </c>
      <c r="I145" s="60" t="s">
        <v>628</v>
      </c>
      <c r="J145" s="101">
        <v>3</v>
      </c>
      <c r="K145" s="97">
        <v>103</v>
      </c>
      <c r="L145" s="79" t="s">
        <v>659</v>
      </c>
    </row>
    <row r="146" spans="1:12" ht="13.5" customHeight="1">
      <c r="A146" s="91">
        <v>10305466</v>
      </c>
      <c r="B146" s="99" t="s">
        <v>1291</v>
      </c>
      <c r="C146" s="100" t="s">
        <v>258</v>
      </c>
      <c r="D146" s="56">
        <v>900</v>
      </c>
      <c r="E146" s="56" t="s">
        <v>596</v>
      </c>
      <c r="F146" s="60">
        <v>5466</v>
      </c>
      <c r="G146" s="60" t="s">
        <v>282</v>
      </c>
      <c r="H146" s="60">
        <v>5565</v>
      </c>
      <c r="I146" s="60" t="s">
        <v>629</v>
      </c>
      <c r="J146" s="101">
        <v>3</v>
      </c>
      <c r="K146" s="97">
        <v>103</v>
      </c>
      <c r="L146" s="79" t="s">
        <v>659</v>
      </c>
    </row>
    <row r="147" spans="1:12" ht="13.5" customHeight="1">
      <c r="A147" s="91">
        <v>10305566</v>
      </c>
      <c r="B147" s="99" t="s">
        <v>1292</v>
      </c>
      <c r="C147" s="100" t="s">
        <v>258</v>
      </c>
      <c r="D147" s="56">
        <v>900</v>
      </c>
      <c r="E147" s="56" t="s">
        <v>596</v>
      </c>
      <c r="F147" s="60">
        <v>5566</v>
      </c>
      <c r="G147" s="60" t="s">
        <v>282</v>
      </c>
      <c r="H147" s="60">
        <v>5665</v>
      </c>
      <c r="I147" s="60" t="s">
        <v>630</v>
      </c>
      <c r="J147" s="101">
        <v>3</v>
      </c>
      <c r="K147" s="97">
        <v>103</v>
      </c>
      <c r="L147" s="79" t="s">
        <v>659</v>
      </c>
    </row>
    <row r="148" spans="1:12" ht="13.5" customHeight="1">
      <c r="A148" s="91">
        <v>10305666</v>
      </c>
      <c r="B148" s="99" t="s">
        <v>1293</v>
      </c>
      <c r="C148" s="100" t="s">
        <v>258</v>
      </c>
      <c r="D148" s="56">
        <v>900</v>
      </c>
      <c r="E148" s="56" t="s">
        <v>596</v>
      </c>
      <c r="F148" s="60">
        <v>5666</v>
      </c>
      <c r="G148" s="60" t="s">
        <v>282</v>
      </c>
      <c r="H148" s="60">
        <v>5765</v>
      </c>
      <c r="I148" s="60" t="s">
        <v>631</v>
      </c>
      <c r="J148" s="101">
        <v>3</v>
      </c>
      <c r="K148" s="97">
        <v>103</v>
      </c>
      <c r="L148" s="79" t="s">
        <v>659</v>
      </c>
    </row>
    <row r="149" spans="1:12" ht="13.5" customHeight="1">
      <c r="A149" s="91">
        <v>10305766</v>
      </c>
      <c r="B149" s="99" t="s">
        <v>1294</v>
      </c>
      <c r="C149" s="100" t="s">
        <v>258</v>
      </c>
      <c r="D149" s="56">
        <v>900</v>
      </c>
      <c r="E149" s="56" t="s">
        <v>596</v>
      </c>
      <c r="F149" s="60">
        <v>5766</v>
      </c>
      <c r="G149" s="60" t="s">
        <v>282</v>
      </c>
      <c r="H149" s="60">
        <v>5865</v>
      </c>
      <c r="I149" s="60" t="s">
        <v>632</v>
      </c>
      <c r="J149" s="101">
        <v>3</v>
      </c>
      <c r="K149" s="97">
        <v>103</v>
      </c>
      <c r="L149" s="79" t="s">
        <v>659</v>
      </c>
    </row>
    <row r="150" spans="1:12" ht="13.5" customHeight="1">
      <c r="A150" s="91">
        <v>10305866</v>
      </c>
      <c r="B150" s="99" t="s">
        <v>1295</v>
      </c>
      <c r="C150" s="100" t="s">
        <v>258</v>
      </c>
      <c r="D150" s="56">
        <v>900</v>
      </c>
      <c r="E150" s="56" t="s">
        <v>596</v>
      </c>
      <c r="F150" s="60">
        <v>5866</v>
      </c>
      <c r="G150" s="60" t="s">
        <v>282</v>
      </c>
      <c r="H150" s="60">
        <v>5965</v>
      </c>
      <c r="I150" s="60" t="s">
        <v>633</v>
      </c>
      <c r="J150" s="101">
        <v>3</v>
      </c>
      <c r="K150" s="97">
        <v>103</v>
      </c>
      <c r="L150" s="79" t="s">
        <v>659</v>
      </c>
    </row>
    <row r="151" spans="1:12" ht="13.5" customHeight="1">
      <c r="A151" s="91">
        <v>10305966</v>
      </c>
      <c r="B151" s="99" t="s">
        <v>1296</v>
      </c>
      <c r="C151" s="100" t="s">
        <v>258</v>
      </c>
      <c r="D151" s="56">
        <v>900</v>
      </c>
      <c r="E151" s="56" t="s">
        <v>596</v>
      </c>
      <c r="F151" s="60">
        <v>5966</v>
      </c>
      <c r="G151" s="60" t="s">
        <v>282</v>
      </c>
      <c r="H151" s="60">
        <v>6065</v>
      </c>
      <c r="I151" s="60" t="s">
        <v>634</v>
      </c>
      <c r="J151" s="101">
        <v>3</v>
      </c>
      <c r="K151" s="97">
        <v>103</v>
      </c>
      <c r="L151" s="79" t="s">
        <v>659</v>
      </c>
    </row>
    <row r="152" spans="1:12" ht="13.5" customHeight="1">
      <c r="A152" s="91">
        <v>10306066</v>
      </c>
      <c r="B152" s="99" t="s">
        <v>1297</v>
      </c>
      <c r="C152" s="100" t="s">
        <v>258</v>
      </c>
      <c r="D152" s="56">
        <v>900</v>
      </c>
      <c r="E152" s="56" t="s">
        <v>596</v>
      </c>
      <c r="F152" s="60">
        <v>6066</v>
      </c>
      <c r="G152" s="60" t="s">
        <v>282</v>
      </c>
      <c r="H152" s="60">
        <v>6165</v>
      </c>
      <c r="I152" s="60" t="s">
        <v>635</v>
      </c>
      <c r="J152" s="101">
        <v>4</v>
      </c>
      <c r="K152" s="97">
        <v>103</v>
      </c>
      <c r="L152" s="79" t="s">
        <v>659</v>
      </c>
    </row>
    <row r="153" spans="1:12" ht="13.5" customHeight="1">
      <c r="A153" s="91">
        <v>10306166</v>
      </c>
      <c r="B153" s="99" t="s">
        <v>1298</v>
      </c>
      <c r="C153" s="100" t="s">
        <v>258</v>
      </c>
      <c r="D153" s="56">
        <v>900</v>
      </c>
      <c r="E153" s="56" t="s">
        <v>596</v>
      </c>
      <c r="F153" s="60">
        <v>6166</v>
      </c>
      <c r="G153" s="60" t="s">
        <v>282</v>
      </c>
      <c r="H153" s="60">
        <v>6265</v>
      </c>
      <c r="I153" s="60" t="s">
        <v>636</v>
      </c>
      <c r="J153" s="101">
        <v>4</v>
      </c>
      <c r="K153" s="97">
        <v>103</v>
      </c>
      <c r="L153" s="79" t="s">
        <v>659</v>
      </c>
    </row>
    <row r="154" spans="1:12" ht="13.5" customHeight="1">
      <c r="A154" s="91">
        <v>10306266</v>
      </c>
      <c r="B154" s="99" t="s">
        <v>1299</v>
      </c>
      <c r="C154" s="100" t="s">
        <v>258</v>
      </c>
      <c r="D154" s="56">
        <v>900</v>
      </c>
      <c r="E154" s="56" t="s">
        <v>596</v>
      </c>
      <c r="F154" s="60">
        <v>6266</v>
      </c>
      <c r="G154" s="60" t="s">
        <v>282</v>
      </c>
      <c r="H154" s="60">
        <v>6365</v>
      </c>
      <c r="I154" s="60" t="s">
        <v>637</v>
      </c>
      <c r="J154" s="101">
        <v>4</v>
      </c>
      <c r="K154" s="97">
        <v>103</v>
      </c>
      <c r="L154" s="79" t="s">
        <v>659</v>
      </c>
    </row>
    <row r="155" spans="1:12" ht="13.5" customHeight="1">
      <c r="A155" s="91">
        <v>10306366</v>
      </c>
      <c r="B155" s="99" t="s">
        <v>1300</v>
      </c>
      <c r="C155" s="100" t="s">
        <v>258</v>
      </c>
      <c r="D155" s="56">
        <v>900</v>
      </c>
      <c r="E155" s="56" t="s">
        <v>596</v>
      </c>
      <c r="F155" s="60">
        <v>6366</v>
      </c>
      <c r="G155" s="60" t="s">
        <v>282</v>
      </c>
      <c r="H155" s="60">
        <v>6465</v>
      </c>
      <c r="I155" s="60" t="s">
        <v>638</v>
      </c>
      <c r="J155" s="101">
        <v>4</v>
      </c>
      <c r="K155" s="97">
        <v>103</v>
      </c>
      <c r="L155" s="79" t="s">
        <v>659</v>
      </c>
    </row>
    <row r="156" spans="1:12" ht="13.5" customHeight="1">
      <c r="A156" s="91">
        <v>10306466</v>
      </c>
      <c r="B156" s="99" t="s">
        <v>1301</v>
      </c>
      <c r="C156" s="100" t="s">
        <v>258</v>
      </c>
      <c r="D156" s="56">
        <v>900</v>
      </c>
      <c r="E156" s="56" t="s">
        <v>596</v>
      </c>
      <c r="F156" s="60">
        <v>6466</v>
      </c>
      <c r="G156" s="60" t="s">
        <v>282</v>
      </c>
      <c r="H156" s="60">
        <v>6565</v>
      </c>
      <c r="I156" s="60" t="s">
        <v>639</v>
      </c>
      <c r="J156" s="101">
        <v>4</v>
      </c>
      <c r="K156" s="97">
        <v>103</v>
      </c>
      <c r="L156" s="79" t="s">
        <v>659</v>
      </c>
    </row>
    <row r="157" spans="1:12" ht="13.5" customHeight="1">
      <c r="A157" s="91">
        <v>10306566</v>
      </c>
      <c r="B157" s="99" t="s">
        <v>1302</v>
      </c>
      <c r="C157" s="100" t="s">
        <v>258</v>
      </c>
      <c r="D157" s="56">
        <v>900</v>
      </c>
      <c r="E157" s="56" t="s">
        <v>596</v>
      </c>
      <c r="F157" s="60">
        <v>6566</v>
      </c>
      <c r="G157" s="60" t="s">
        <v>282</v>
      </c>
      <c r="H157" s="60">
        <v>6665</v>
      </c>
      <c r="I157" s="60" t="s">
        <v>640</v>
      </c>
      <c r="J157" s="101">
        <v>4</v>
      </c>
      <c r="K157" s="97">
        <v>103</v>
      </c>
      <c r="L157" s="79" t="s">
        <v>659</v>
      </c>
    </row>
    <row r="158" spans="1:12" ht="13.5" customHeight="1">
      <c r="A158" s="91">
        <v>10306666</v>
      </c>
      <c r="B158" s="99" t="s">
        <v>1303</v>
      </c>
      <c r="C158" s="100" t="s">
        <v>258</v>
      </c>
      <c r="D158" s="56">
        <v>900</v>
      </c>
      <c r="E158" s="56" t="s">
        <v>596</v>
      </c>
      <c r="F158" s="60">
        <v>6666</v>
      </c>
      <c r="G158" s="60" t="s">
        <v>282</v>
      </c>
      <c r="H158" s="60">
        <v>6765</v>
      </c>
      <c r="I158" s="60" t="s">
        <v>641</v>
      </c>
      <c r="J158" s="101">
        <v>4</v>
      </c>
      <c r="K158" s="97">
        <v>103</v>
      </c>
      <c r="L158" s="79" t="s">
        <v>659</v>
      </c>
    </row>
    <row r="159" spans="1:12" ht="13.5" customHeight="1">
      <c r="A159" s="91">
        <v>10306766</v>
      </c>
      <c r="B159" s="99" t="s">
        <v>1304</v>
      </c>
      <c r="C159" s="100" t="s">
        <v>258</v>
      </c>
      <c r="D159" s="56">
        <v>900</v>
      </c>
      <c r="E159" s="56" t="s">
        <v>596</v>
      </c>
      <c r="F159" s="60">
        <v>6766</v>
      </c>
      <c r="G159" s="60" t="s">
        <v>282</v>
      </c>
      <c r="H159" s="60">
        <v>6865</v>
      </c>
      <c r="I159" s="60" t="s">
        <v>642</v>
      </c>
      <c r="J159" s="101">
        <v>4</v>
      </c>
      <c r="K159" s="97">
        <v>103</v>
      </c>
      <c r="L159" s="79" t="s">
        <v>659</v>
      </c>
    </row>
    <row r="160" spans="1:12" ht="13.5" customHeight="1">
      <c r="A160" s="91">
        <v>10306866</v>
      </c>
      <c r="B160" s="99" t="s">
        <v>1305</v>
      </c>
      <c r="C160" s="100" t="s">
        <v>258</v>
      </c>
      <c r="D160" s="56">
        <v>900</v>
      </c>
      <c r="E160" s="56" t="s">
        <v>596</v>
      </c>
      <c r="F160" s="60">
        <v>6866</v>
      </c>
      <c r="G160" s="60" t="s">
        <v>282</v>
      </c>
      <c r="H160" s="60">
        <v>6965</v>
      </c>
      <c r="I160" s="60" t="s">
        <v>643</v>
      </c>
      <c r="J160" s="101">
        <v>5</v>
      </c>
      <c r="K160" s="97">
        <v>103</v>
      </c>
      <c r="L160" s="79" t="s">
        <v>659</v>
      </c>
    </row>
    <row r="161" spans="1:12" ht="13.5" customHeight="1">
      <c r="A161" s="91">
        <v>10306966</v>
      </c>
      <c r="B161" s="99" t="s">
        <v>1306</v>
      </c>
      <c r="C161" s="100" t="s">
        <v>258</v>
      </c>
      <c r="D161" s="56">
        <v>900</v>
      </c>
      <c r="E161" s="56" t="s">
        <v>596</v>
      </c>
      <c r="F161" s="60">
        <v>6966</v>
      </c>
      <c r="G161" s="60" t="s">
        <v>282</v>
      </c>
      <c r="H161" s="60">
        <v>7065</v>
      </c>
      <c r="I161" s="60" t="s">
        <v>644</v>
      </c>
      <c r="J161" s="101">
        <v>5</v>
      </c>
      <c r="K161" s="97">
        <v>103</v>
      </c>
      <c r="L161" s="79" t="s">
        <v>659</v>
      </c>
    </row>
    <row r="162" spans="1:12" ht="13.5" customHeight="1">
      <c r="A162" s="91">
        <v>10307066</v>
      </c>
      <c r="B162" s="99" t="s">
        <v>1307</v>
      </c>
      <c r="C162" s="100" t="s">
        <v>258</v>
      </c>
      <c r="D162" s="56">
        <v>900</v>
      </c>
      <c r="E162" s="56" t="s">
        <v>596</v>
      </c>
      <c r="F162" s="60">
        <v>7066</v>
      </c>
      <c r="G162" s="60" t="s">
        <v>282</v>
      </c>
      <c r="H162" s="60">
        <v>7165</v>
      </c>
      <c r="I162" s="60" t="s">
        <v>645</v>
      </c>
      <c r="J162" s="101">
        <v>5</v>
      </c>
      <c r="K162" s="97">
        <v>103</v>
      </c>
      <c r="L162" s="79" t="s">
        <v>659</v>
      </c>
    </row>
    <row r="163" spans="1:12" ht="13.5" customHeight="1">
      <c r="A163" s="91">
        <v>10307166</v>
      </c>
      <c r="B163" s="99" t="s">
        <v>1308</v>
      </c>
      <c r="C163" s="100" t="s">
        <v>258</v>
      </c>
      <c r="D163" s="56">
        <v>900</v>
      </c>
      <c r="E163" s="56" t="s">
        <v>596</v>
      </c>
      <c r="F163" s="60">
        <v>7166</v>
      </c>
      <c r="G163" s="60" t="s">
        <v>282</v>
      </c>
      <c r="H163" s="60">
        <v>7265</v>
      </c>
      <c r="I163" s="60" t="s">
        <v>646</v>
      </c>
      <c r="J163" s="101">
        <v>5</v>
      </c>
      <c r="K163" s="97">
        <v>103</v>
      </c>
      <c r="L163" s="79" t="s">
        <v>659</v>
      </c>
    </row>
    <row r="164" spans="1:12" ht="13.5" customHeight="1">
      <c r="A164" s="91">
        <v>10307266</v>
      </c>
      <c r="B164" s="99" t="s">
        <v>1309</v>
      </c>
      <c r="C164" s="100" t="s">
        <v>258</v>
      </c>
      <c r="D164" s="56">
        <v>900</v>
      </c>
      <c r="E164" s="56" t="s">
        <v>596</v>
      </c>
      <c r="F164" s="60">
        <v>7266</v>
      </c>
      <c r="G164" s="60" t="s">
        <v>282</v>
      </c>
      <c r="H164" s="60">
        <v>7365</v>
      </c>
      <c r="I164" s="60" t="s">
        <v>647</v>
      </c>
      <c r="J164" s="101">
        <v>5</v>
      </c>
      <c r="K164" s="97">
        <v>103</v>
      </c>
      <c r="L164" s="79" t="s">
        <v>659</v>
      </c>
    </row>
    <row r="165" spans="1:12" ht="13.5" customHeight="1">
      <c r="A165" s="91">
        <v>10307366</v>
      </c>
      <c r="B165" s="99" t="s">
        <v>1310</v>
      </c>
      <c r="C165" s="100" t="s">
        <v>258</v>
      </c>
      <c r="D165" s="56">
        <v>900</v>
      </c>
      <c r="E165" s="56" t="s">
        <v>596</v>
      </c>
      <c r="F165" s="60">
        <v>7366</v>
      </c>
      <c r="G165" s="60" t="s">
        <v>282</v>
      </c>
      <c r="H165" s="60">
        <v>7465</v>
      </c>
      <c r="I165" s="60" t="s">
        <v>648</v>
      </c>
      <c r="J165" s="101">
        <v>5</v>
      </c>
      <c r="K165" s="97">
        <v>103</v>
      </c>
      <c r="L165" s="79" t="s">
        <v>659</v>
      </c>
    </row>
    <row r="166" spans="1:12" ht="13.5" customHeight="1">
      <c r="A166" s="91">
        <v>10307466</v>
      </c>
      <c r="B166" s="99" t="s">
        <v>1311</v>
      </c>
      <c r="C166" s="100" t="s">
        <v>258</v>
      </c>
      <c r="D166" s="56">
        <v>900</v>
      </c>
      <c r="E166" s="56" t="s">
        <v>596</v>
      </c>
      <c r="F166" s="60">
        <v>7466</v>
      </c>
      <c r="G166" s="60" t="s">
        <v>282</v>
      </c>
      <c r="H166" s="60">
        <v>7565</v>
      </c>
      <c r="I166" s="60" t="s">
        <v>649</v>
      </c>
      <c r="J166" s="101">
        <v>5</v>
      </c>
      <c r="K166" s="97">
        <v>103</v>
      </c>
      <c r="L166" s="79" t="s">
        <v>659</v>
      </c>
    </row>
    <row r="167" spans="1:12" ht="13.5" customHeight="1">
      <c r="A167" s="91">
        <v>10307566</v>
      </c>
      <c r="B167" s="99" t="s">
        <v>1312</v>
      </c>
      <c r="C167" s="100" t="s">
        <v>258</v>
      </c>
      <c r="D167" s="56">
        <v>900</v>
      </c>
      <c r="E167" s="56" t="s">
        <v>596</v>
      </c>
      <c r="F167" s="60">
        <v>7566</v>
      </c>
      <c r="G167" s="60" t="s">
        <v>282</v>
      </c>
      <c r="H167" s="60">
        <v>7665</v>
      </c>
      <c r="I167" s="60" t="s">
        <v>650</v>
      </c>
      <c r="J167" s="101">
        <v>5</v>
      </c>
      <c r="K167" s="97">
        <v>103</v>
      </c>
      <c r="L167" s="79" t="s">
        <v>659</v>
      </c>
    </row>
    <row r="168" spans="1:12" ht="13.5" customHeight="1">
      <c r="A168" s="91">
        <v>10307666</v>
      </c>
      <c r="B168" s="99" t="s">
        <v>1313</v>
      </c>
      <c r="C168" s="100" t="s">
        <v>258</v>
      </c>
      <c r="D168" s="56">
        <v>900</v>
      </c>
      <c r="E168" s="56" t="s">
        <v>596</v>
      </c>
      <c r="F168" s="60">
        <v>7666</v>
      </c>
      <c r="G168" s="60" t="s">
        <v>282</v>
      </c>
      <c r="H168" s="60">
        <v>7765</v>
      </c>
      <c r="I168" s="60" t="s">
        <v>651</v>
      </c>
      <c r="J168" s="101">
        <v>6</v>
      </c>
      <c r="K168" s="97">
        <v>103</v>
      </c>
      <c r="L168" s="79" t="s">
        <v>659</v>
      </c>
    </row>
    <row r="169" spans="1:12" ht="13.5" customHeight="1">
      <c r="A169" s="91">
        <v>10307766</v>
      </c>
      <c r="B169" s="99" t="s">
        <v>1314</v>
      </c>
      <c r="C169" s="100" t="s">
        <v>258</v>
      </c>
      <c r="D169" s="56">
        <v>900</v>
      </c>
      <c r="E169" s="56" t="s">
        <v>596</v>
      </c>
      <c r="F169" s="60">
        <v>7766</v>
      </c>
      <c r="G169" s="60" t="s">
        <v>282</v>
      </c>
      <c r="H169" s="60">
        <v>7865</v>
      </c>
      <c r="I169" s="60" t="s">
        <v>652</v>
      </c>
      <c r="J169" s="101">
        <v>6</v>
      </c>
      <c r="K169" s="97">
        <v>103</v>
      </c>
      <c r="L169" s="79" t="s">
        <v>659</v>
      </c>
    </row>
    <row r="170" spans="1:12" ht="13.5" customHeight="1">
      <c r="A170" s="91">
        <v>10307866</v>
      </c>
      <c r="B170" s="99" t="s">
        <v>1315</v>
      </c>
      <c r="C170" s="100" t="s">
        <v>258</v>
      </c>
      <c r="D170" s="56">
        <v>900</v>
      </c>
      <c r="E170" s="56" t="s">
        <v>596</v>
      </c>
      <c r="F170" s="60">
        <v>7866</v>
      </c>
      <c r="G170" s="60" t="s">
        <v>282</v>
      </c>
      <c r="H170" s="60">
        <v>7965</v>
      </c>
      <c r="I170" s="60" t="s">
        <v>653</v>
      </c>
      <c r="J170" s="101">
        <v>6</v>
      </c>
      <c r="K170" s="97">
        <v>103</v>
      </c>
      <c r="L170" s="79" t="s">
        <v>659</v>
      </c>
    </row>
    <row r="171" spans="1:12" ht="13.5" customHeight="1">
      <c r="A171" s="91">
        <v>10307966</v>
      </c>
      <c r="B171" s="102" t="s">
        <v>1316</v>
      </c>
      <c r="C171" s="103" t="s">
        <v>258</v>
      </c>
      <c r="D171" s="105">
        <v>900</v>
      </c>
      <c r="E171" s="105" t="s">
        <v>596</v>
      </c>
      <c r="F171" s="104">
        <v>7966</v>
      </c>
      <c r="G171" s="104" t="s">
        <v>282</v>
      </c>
      <c r="H171" s="104">
        <v>8065</v>
      </c>
      <c r="I171" s="104" t="s">
        <v>654</v>
      </c>
      <c r="J171" s="106">
        <v>6</v>
      </c>
      <c r="K171" s="97">
        <v>103</v>
      </c>
      <c r="L171" s="79" t="s">
        <v>659</v>
      </c>
    </row>
    <row r="172" spans="1:12" ht="13.5" customHeight="1">
      <c r="A172" s="91">
        <v>10400000</v>
      </c>
      <c r="B172" s="92" t="s">
        <v>1317</v>
      </c>
      <c r="C172" s="93" t="s">
        <v>258</v>
      </c>
      <c r="D172" s="94">
        <v>900</v>
      </c>
      <c r="E172" s="94" t="s">
        <v>264</v>
      </c>
      <c r="F172" s="95">
        <v>0</v>
      </c>
      <c r="G172" s="95" t="s">
        <v>282</v>
      </c>
      <c r="H172" s="95">
        <v>2640</v>
      </c>
      <c r="I172" s="95" t="s">
        <v>597</v>
      </c>
      <c r="J172" s="96">
        <v>0</v>
      </c>
      <c r="K172" s="107">
        <v>104</v>
      </c>
      <c r="L172" s="79" t="s">
        <v>659</v>
      </c>
    </row>
    <row r="173" spans="1:12" ht="13.5" customHeight="1">
      <c r="A173" s="91">
        <v>10402641</v>
      </c>
      <c r="B173" s="99" t="s">
        <v>1318</v>
      </c>
      <c r="C173" s="100" t="s">
        <v>258</v>
      </c>
      <c r="D173" s="56">
        <v>900</v>
      </c>
      <c r="E173" s="56" t="s">
        <v>264</v>
      </c>
      <c r="F173" s="60">
        <v>2641</v>
      </c>
      <c r="G173" s="60" t="s">
        <v>282</v>
      </c>
      <c r="H173" s="60">
        <v>2715</v>
      </c>
      <c r="I173" s="60" t="s">
        <v>599</v>
      </c>
      <c r="J173" s="101">
        <v>0</v>
      </c>
      <c r="K173" s="107">
        <v>104</v>
      </c>
      <c r="L173" s="79" t="s">
        <v>659</v>
      </c>
    </row>
    <row r="174" spans="1:12" ht="13.5" customHeight="1">
      <c r="A174" s="91">
        <v>10402716</v>
      </c>
      <c r="B174" s="99" t="s">
        <v>1319</v>
      </c>
      <c r="C174" s="100" t="s">
        <v>258</v>
      </c>
      <c r="D174" s="56">
        <v>900</v>
      </c>
      <c r="E174" s="56" t="s">
        <v>264</v>
      </c>
      <c r="F174" s="60">
        <v>2716</v>
      </c>
      <c r="G174" s="60" t="s">
        <v>282</v>
      </c>
      <c r="H174" s="60">
        <v>2765</v>
      </c>
      <c r="I174" s="60" t="s">
        <v>600</v>
      </c>
      <c r="J174" s="101">
        <v>0</v>
      </c>
      <c r="K174" s="107">
        <v>104</v>
      </c>
      <c r="L174" s="79" t="s">
        <v>659</v>
      </c>
    </row>
    <row r="175" spans="1:12" ht="13.5" customHeight="1">
      <c r="A175" s="91">
        <v>10402766</v>
      </c>
      <c r="B175" s="99" t="s">
        <v>1320</v>
      </c>
      <c r="C175" s="100" t="s">
        <v>258</v>
      </c>
      <c r="D175" s="56">
        <v>900</v>
      </c>
      <c r="E175" s="56" t="s">
        <v>264</v>
      </c>
      <c r="F175" s="60">
        <v>2766</v>
      </c>
      <c r="G175" s="60" t="s">
        <v>282</v>
      </c>
      <c r="H175" s="60">
        <v>2865</v>
      </c>
      <c r="I175" s="60" t="s">
        <v>602</v>
      </c>
      <c r="J175" s="101">
        <v>0</v>
      </c>
      <c r="K175" s="107">
        <v>104</v>
      </c>
      <c r="L175" s="79" t="s">
        <v>659</v>
      </c>
    </row>
    <row r="176" spans="1:12" ht="13.5" customHeight="1">
      <c r="A176" s="91">
        <v>10402866</v>
      </c>
      <c r="B176" s="99" t="s">
        <v>1321</v>
      </c>
      <c r="C176" s="100" t="s">
        <v>258</v>
      </c>
      <c r="D176" s="56">
        <v>900</v>
      </c>
      <c r="E176" s="56" t="s">
        <v>264</v>
      </c>
      <c r="F176" s="60">
        <v>2866</v>
      </c>
      <c r="G176" s="60" t="s">
        <v>282</v>
      </c>
      <c r="H176" s="60">
        <v>2965</v>
      </c>
      <c r="I176" s="60" t="s">
        <v>603</v>
      </c>
      <c r="J176" s="101">
        <v>0</v>
      </c>
      <c r="K176" s="107">
        <v>104</v>
      </c>
      <c r="L176" s="79" t="s">
        <v>659</v>
      </c>
    </row>
    <row r="177" spans="1:12" ht="13.5" customHeight="1">
      <c r="A177" s="91">
        <v>10402966</v>
      </c>
      <c r="B177" s="99" t="s">
        <v>1322</v>
      </c>
      <c r="C177" s="100" t="s">
        <v>258</v>
      </c>
      <c r="D177" s="56">
        <v>900</v>
      </c>
      <c r="E177" s="56" t="s">
        <v>264</v>
      </c>
      <c r="F177" s="60">
        <v>2966</v>
      </c>
      <c r="G177" s="60" t="s">
        <v>282</v>
      </c>
      <c r="H177" s="60">
        <v>3065</v>
      </c>
      <c r="I177" s="60" t="s">
        <v>604</v>
      </c>
      <c r="J177" s="101">
        <v>0</v>
      </c>
      <c r="K177" s="107">
        <v>104</v>
      </c>
      <c r="L177" s="79" t="s">
        <v>659</v>
      </c>
    </row>
    <row r="178" spans="1:12" ht="13.5" customHeight="1">
      <c r="A178" s="91">
        <v>10403066</v>
      </c>
      <c r="B178" s="99" t="s">
        <v>1323</v>
      </c>
      <c r="C178" s="100" t="s">
        <v>258</v>
      </c>
      <c r="D178" s="56">
        <v>900</v>
      </c>
      <c r="E178" s="56" t="s">
        <v>264</v>
      </c>
      <c r="F178" s="60">
        <v>3066</v>
      </c>
      <c r="G178" s="60" t="s">
        <v>282</v>
      </c>
      <c r="H178" s="60">
        <v>3165</v>
      </c>
      <c r="I178" s="60" t="s">
        <v>605</v>
      </c>
      <c r="J178" s="101">
        <v>0</v>
      </c>
      <c r="K178" s="107">
        <v>104</v>
      </c>
      <c r="L178" s="79" t="s">
        <v>659</v>
      </c>
    </row>
    <row r="179" spans="1:12" ht="13.5" customHeight="1">
      <c r="A179" s="91">
        <v>10403166</v>
      </c>
      <c r="B179" s="99" t="s">
        <v>1324</v>
      </c>
      <c r="C179" s="100" t="s">
        <v>258</v>
      </c>
      <c r="D179" s="56">
        <v>900</v>
      </c>
      <c r="E179" s="56" t="s">
        <v>264</v>
      </c>
      <c r="F179" s="60">
        <v>3166</v>
      </c>
      <c r="G179" s="60" t="s">
        <v>282</v>
      </c>
      <c r="H179" s="60">
        <v>3265</v>
      </c>
      <c r="I179" s="60" t="s">
        <v>606</v>
      </c>
      <c r="J179" s="101">
        <v>0</v>
      </c>
      <c r="K179" s="107">
        <v>104</v>
      </c>
      <c r="L179" s="79" t="s">
        <v>659</v>
      </c>
    </row>
    <row r="180" spans="1:12" ht="13.5" customHeight="1">
      <c r="A180" s="91">
        <v>10403266</v>
      </c>
      <c r="B180" s="99" t="s">
        <v>1325</v>
      </c>
      <c r="C180" s="100" t="s">
        <v>258</v>
      </c>
      <c r="D180" s="56">
        <v>900</v>
      </c>
      <c r="E180" s="56" t="s">
        <v>264</v>
      </c>
      <c r="F180" s="60">
        <v>3266</v>
      </c>
      <c r="G180" s="60" t="s">
        <v>282</v>
      </c>
      <c r="H180" s="60">
        <v>3365</v>
      </c>
      <c r="I180" s="60" t="s">
        <v>607</v>
      </c>
      <c r="J180" s="101">
        <v>0</v>
      </c>
      <c r="K180" s="107">
        <v>104</v>
      </c>
      <c r="L180" s="79" t="s">
        <v>659</v>
      </c>
    </row>
    <row r="181" spans="1:12" ht="13.5" customHeight="1">
      <c r="A181" s="91">
        <v>10403366</v>
      </c>
      <c r="B181" s="99" t="s">
        <v>1326</v>
      </c>
      <c r="C181" s="100" t="s">
        <v>258</v>
      </c>
      <c r="D181" s="56">
        <v>900</v>
      </c>
      <c r="E181" s="56" t="s">
        <v>264</v>
      </c>
      <c r="F181" s="60">
        <v>3366</v>
      </c>
      <c r="G181" s="60" t="s">
        <v>282</v>
      </c>
      <c r="H181" s="60">
        <v>3465</v>
      </c>
      <c r="I181" s="60" t="s">
        <v>608</v>
      </c>
      <c r="J181" s="101">
        <v>0</v>
      </c>
      <c r="K181" s="107">
        <v>104</v>
      </c>
      <c r="L181" s="79" t="s">
        <v>659</v>
      </c>
    </row>
    <row r="182" spans="1:12" ht="13.5" customHeight="1">
      <c r="A182" s="91">
        <v>10403466</v>
      </c>
      <c r="B182" s="99" t="s">
        <v>1327</v>
      </c>
      <c r="C182" s="100" t="s">
        <v>258</v>
      </c>
      <c r="D182" s="56">
        <v>900</v>
      </c>
      <c r="E182" s="56" t="s">
        <v>264</v>
      </c>
      <c r="F182" s="60">
        <v>3466</v>
      </c>
      <c r="G182" s="60" t="s">
        <v>282</v>
      </c>
      <c r="H182" s="60">
        <v>3565</v>
      </c>
      <c r="I182" s="60" t="s">
        <v>609</v>
      </c>
      <c r="J182" s="101">
        <v>0</v>
      </c>
      <c r="K182" s="107">
        <v>104</v>
      </c>
      <c r="L182" s="79" t="s">
        <v>659</v>
      </c>
    </row>
    <row r="183" spans="1:12" ht="13.5" customHeight="1">
      <c r="A183" s="91">
        <v>10403566</v>
      </c>
      <c r="B183" s="99" t="s">
        <v>1328</v>
      </c>
      <c r="C183" s="100" t="s">
        <v>258</v>
      </c>
      <c r="D183" s="56">
        <v>900</v>
      </c>
      <c r="E183" s="56" t="s">
        <v>264</v>
      </c>
      <c r="F183" s="60">
        <v>3566</v>
      </c>
      <c r="G183" s="60" t="s">
        <v>282</v>
      </c>
      <c r="H183" s="60">
        <v>3665</v>
      </c>
      <c r="I183" s="60" t="s">
        <v>610</v>
      </c>
      <c r="J183" s="101">
        <v>0</v>
      </c>
      <c r="K183" s="107">
        <v>104</v>
      </c>
      <c r="L183" s="79" t="s">
        <v>659</v>
      </c>
    </row>
    <row r="184" spans="1:12" ht="13.5" customHeight="1">
      <c r="A184" s="91">
        <v>10403666</v>
      </c>
      <c r="B184" s="99" t="s">
        <v>1329</v>
      </c>
      <c r="C184" s="100" t="s">
        <v>258</v>
      </c>
      <c r="D184" s="56">
        <v>900</v>
      </c>
      <c r="E184" s="56" t="s">
        <v>264</v>
      </c>
      <c r="F184" s="60">
        <v>3666</v>
      </c>
      <c r="G184" s="60" t="s">
        <v>282</v>
      </c>
      <c r="H184" s="60">
        <v>3765</v>
      </c>
      <c r="I184" s="60" t="s">
        <v>611</v>
      </c>
      <c r="J184" s="101">
        <v>1</v>
      </c>
      <c r="K184" s="107">
        <v>104</v>
      </c>
      <c r="L184" s="79" t="s">
        <v>659</v>
      </c>
    </row>
    <row r="185" spans="1:12" ht="13.5" customHeight="1">
      <c r="A185" s="91">
        <v>10403766</v>
      </c>
      <c r="B185" s="99" t="s">
        <v>1330</v>
      </c>
      <c r="C185" s="100" t="s">
        <v>258</v>
      </c>
      <c r="D185" s="56">
        <v>900</v>
      </c>
      <c r="E185" s="56" t="s">
        <v>264</v>
      </c>
      <c r="F185" s="60">
        <v>3766</v>
      </c>
      <c r="G185" s="60" t="s">
        <v>282</v>
      </c>
      <c r="H185" s="60">
        <v>3865</v>
      </c>
      <c r="I185" s="60" t="s">
        <v>612</v>
      </c>
      <c r="J185" s="101">
        <v>1</v>
      </c>
      <c r="K185" s="107">
        <v>104</v>
      </c>
      <c r="L185" s="79" t="s">
        <v>659</v>
      </c>
    </row>
    <row r="186" spans="1:12" ht="13.5" customHeight="1">
      <c r="A186" s="91">
        <v>10403866</v>
      </c>
      <c r="B186" s="99" t="s">
        <v>1331</v>
      </c>
      <c r="C186" s="100" t="s">
        <v>258</v>
      </c>
      <c r="D186" s="56">
        <v>900</v>
      </c>
      <c r="E186" s="56" t="s">
        <v>264</v>
      </c>
      <c r="F186" s="60">
        <v>3866</v>
      </c>
      <c r="G186" s="60" t="s">
        <v>282</v>
      </c>
      <c r="H186" s="60">
        <v>3965</v>
      </c>
      <c r="I186" s="60" t="s">
        <v>613</v>
      </c>
      <c r="J186" s="101">
        <v>1</v>
      </c>
      <c r="K186" s="107">
        <v>104</v>
      </c>
      <c r="L186" s="79" t="s">
        <v>659</v>
      </c>
    </row>
    <row r="187" spans="1:12" ht="13.5" customHeight="1">
      <c r="A187" s="91">
        <v>10403966</v>
      </c>
      <c r="B187" s="99" t="s">
        <v>1332</v>
      </c>
      <c r="C187" s="100" t="s">
        <v>258</v>
      </c>
      <c r="D187" s="56">
        <v>900</v>
      </c>
      <c r="E187" s="56" t="s">
        <v>264</v>
      </c>
      <c r="F187" s="60">
        <v>3966</v>
      </c>
      <c r="G187" s="60" t="s">
        <v>282</v>
      </c>
      <c r="H187" s="60">
        <v>4065</v>
      </c>
      <c r="I187" s="60" t="s">
        <v>614</v>
      </c>
      <c r="J187" s="101">
        <v>1</v>
      </c>
      <c r="K187" s="107">
        <v>104</v>
      </c>
      <c r="L187" s="79" t="s">
        <v>659</v>
      </c>
    </row>
    <row r="188" spans="1:12" ht="13.5" customHeight="1">
      <c r="A188" s="91">
        <v>10404066</v>
      </c>
      <c r="B188" s="99" t="s">
        <v>1333</v>
      </c>
      <c r="C188" s="100" t="s">
        <v>258</v>
      </c>
      <c r="D188" s="56">
        <v>900</v>
      </c>
      <c r="E188" s="56" t="s">
        <v>264</v>
      </c>
      <c r="F188" s="60">
        <v>4066</v>
      </c>
      <c r="G188" s="60" t="s">
        <v>282</v>
      </c>
      <c r="H188" s="60">
        <v>4165</v>
      </c>
      <c r="I188" s="60" t="s">
        <v>615</v>
      </c>
      <c r="J188" s="101">
        <v>1</v>
      </c>
      <c r="K188" s="107">
        <v>104</v>
      </c>
      <c r="L188" s="79" t="s">
        <v>659</v>
      </c>
    </row>
    <row r="189" spans="1:12" ht="13.5" customHeight="1">
      <c r="A189" s="91">
        <v>10404166</v>
      </c>
      <c r="B189" s="99" t="s">
        <v>1334</v>
      </c>
      <c r="C189" s="100" t="s">
        <v>258</v>
      </c>
      <c r="D189" s="56">
        <v>900</v>
      </c>
      <c r="E189" s="56" t="s">
        <v>264</v>
      </c>
      <c r="F189" s="60">
        <v>4166</v>
      </c>
      <c r="G189" s="60" t="s">
        <v>282</v>
      </c>
      <c r="H189" s="60">
        <v>4265</v>
      </c>
      <c r="I189" s="60" t="s">
        <v>616</v>
      </c>
      <c r="J189" s="101">
        <v>1</v>
      </c>
      <c r="K189" s="107">
        <v>104</v>
      </c>
      <c r="L189" s="79" t="s">
        <v>659</v>
      </c>
    </row>
    <row r="190" spans="1:12" ht="13.5" customHeight="1">
      <c r="A190" s="91">
        <v>10404266</v>
      </c>
      <c r="B190" s="99" t="s">
        <v>1335</v>
      </c>
      <c r="C190" s="100" t="s">
        <v>258</v>
      </c>
      <c r="D190" s="56">
        <v>900</v>
      </c>
      <c r="E190" s="56" t="s">
        <v>264</v>
      </c>
      <c r="F190" s="60">
        <v>4266</v>
      </c>
      <c r="G190" s="60" t="s">
        <v>282</v>
      </c>
      <c r="H190" s="60">
        <v>4365</v>
      </c>
      <c r="I190" s="60" t="s">
        <v>617</v>
      </c>
      <c r="J190" s="101">
        <v>1</v>
      </c>
      <c r="K190" s="107">
        <v>104</v>
      </c>
      <c r="L190" s="79" t="s">
        <v>659</v>
      </c>
    </row>
    <row r="191" spans="1:12" ht="13.5" customHeight="1">
      <c r="A191" s="91">
        <v>10404366</v>
      </c>
      <c r="B191" s="99" t="s">
        <v>1336</v>
      </c>
      <c r="C191" s="100" t="s">
        <v>258</v>
      </c>
      <c r="D191" s="56">
        <v>900</v>
      </c>
      <c r="E191" s="56" t="s">
        <v>264</v>
      </c>
      <c r="F191" s="60">
        <v>4366</v>
      </c>
      <c r="G191" s="60" t="s">
        <v>282</v>
      </c>
      <c r="H191" s="60">
        <v>4465</v>
      </c>
      <c r="I191" s="60" t="s">
        <v>618</v>
      </c>
      <c r="J191" s="101">
        <v>1</v>
      </c>
      <c r="K191" s="107">
        <v>104</v>
      </c>
      <c r="L191" s="79" t="s">
        <v>659</v>
      </c>
    </row>
    <row r="192" spans="1:12" ht="13.5" customHeight="1">
      <c r="A192" s="91">
        <v>10404466</v>
      </c>
      <c r="B192" s="99" t="s">
        <v>1337</v>
      </c>
      <c r="C192" s="100" t="s">
        <v>258</v>
      </c>
      <c r="D192" s="56">
        <v>900</v>
      </c>
      <c r="E192" s="56" t="s">
        <v>264</v>
      </c>
      <c r="F192" s="60">
        <v>4466</v>
      </c>
      <c r="G192" s="60" t="s">
        <v>282</v>
      </c>
      <c r="H192" s="60">
        <v>4565</v>
      </c>
      <c r="I192" s="60" t="s">
        <v>619</v>
      </c>
      <c r="J192" s="101">
        <v>2</v>
      </c>
      <c r="K192" s="107">
        <v>104</v>
      </c>
      <c r="L192" s="79" t="s">
        <v>659</v>
      </c>
    </row>
    <row r="193" spans="1:12" ht="13.5" customHeight="1">
      <c r="A193" s="91">
        <v>10404566</v>
      </c>
      <c r="B193" s="99" t="s">
        <v>1338</v>
      </c>
      <c r="C193" s="100" t="s">
        <v>258</v>
      </c>
      <c r="D193" s="56">
        <v>900</v>
      </c>
      <c r="E193" s="56" t="s">
        <v>264</v>
      </c>
      <c r="F193" s="60">
        <v>4566</v>
      </c>
      <c r="G193" s="60" t="s">
        <v>282</v>
      </c>
      <c r="H193" s="60">
        <v>4665</v>
      </c>
      <c r="I193" s="60" t="s">
        <v>620</v>
      </c>
      <c r="J193" s="101">
        <v>2</v>
      </c>
      <c r="K193" s="107">
        <v>104</v>
      </c>
      <c r="L193" s="79" t="s">
        <v>659</v>
      </c>
    </row>
    <row r="194" spans="1:12" ht="13.5" customHeight="1">
      <c r="A194" s="91">
        <v>10404666</v>
      </c>
      <c r="B194" s="99" t="s">
        <v>1339</v>
      </c>
      <c r="C194" s="100" t="s">
        <v>258</v>
      </c>
      <c r="D194" s="56">
        <v>900</v>
      </c>
      <c r="E194" s="56" t="s">
        <v>264</v>
      </c>
      <c r="F194" s="60">
        <v>4666</v>
      </c>
      <c r="G194" s="60" t="s">
        <v>282</v>
      </c>
      <c r="H194" s="60">
        <v>4765</v>
      </c>
      <c r="I194" s="60" t="s">
        <v>621</v>
      </c>
      <c r="J194" s="101">
        <v>2</v>
      </c>
      <c r="K194" s="107">
        <v>104</v>
      </c>
      <c r="L194" s="79" t="s">
        <v>659</v>
      </c>
    </row>
    <row r="195" spans="1:12" ht="13.5" customHeight="1">
      <c r="A195" s="91">
        <v>10404766</v>
      </c>
      <c r="B195" s="99" t="s">
        <v>1340</v>
      </c>
      <c r="C195" s="100" t="s">
        <v>258</v>
      </c>
      <c r="D195" s="56">
        <v>900</v>
      </c>
      <c r="E195" s="56" t="s">
        <v>264</v>
      </c>
      <c r="F195" s="60">
        <v>4766</v>
      </c>
      <c r="G195" s="60" t="s">
        <v>282</v>
      </c>
      <c r="H195" s="60">
        <v>4865</v>
      </c>
      <c r="I195" s="60" t="s">
        <v>622</v>
      </c>
      <c r="J195" s="101">
        <v>2</v>
      </c>
      <c r="K195" s="107">
        <v>104</v>
      </c>
      <c r="L195" s="79" t="s">
        <v>659</v>
      </c>
    </row>
    <row r="196" spans="1:12" ht="13.5" customHeight="1">
      <c r="A196" s="91">
        <v>10404866</v>
      </c>
      <c r="B196" s="99" t="s">
        <v>1341</v>
      </c>
      <c r="C196" s="100" t="s">
        <v>258</v>
      </c>
      <c r="D196" s="56">
        <v>900</v>
      </c>
      <c r="E196" s="56" t="s">
        <v>264</v>
      </c>
      <c r="F196" s="60">
        <v>4866</v>
      </c>
      <c r="G196" s="60" t="s">
        <v>282</v>
      </c>
      <c r="H196" s="60">
        <v>4965</v>
      </c>
      <c r="I196" s="60" t="s">
        <v>623</v>
      </c>
      <c r="J196" s="101">
        <v>2</v>
      </c>
      <c r="K196" s="107">
        <v>104</v>
      </c>
      <c r="L196" s="79" t="s">
        <v>659</v>
      </c>
    </row>
    <row r="197" spans="1:12" ht="13.5" customHeight="1">
      <c r="A197" s="91">
        <v>10404966</v>
      </c>
      <c r="B197" s="99" t="s">
        <v>1342</v>
      </c>
      <c r="C197" s="100" t="s">
        <v>258</v>
      </c>
      <c r="D197" s="56">
        <v>900</v>
      </c>
      <c r="E197" s="56" t="s">
        <v>264</v>
      </c>
      <c r="F197" s="60">
        <v>4966</v>
      </c>
      <c r="G197" s="60" t="s">
        <v>282</v>
      </c>
      <c r="H197" s="60">
        <v>5065</v>
      </c>
      <c r="I197" s="60" t="s">
        <v>624</v>
      </c>
      <c r="J197" s="101">
        <v>2</v>
      </c>
      <c r="K197" s="107">
        <v>104</v>
      </c>
      <c r="L197" s="79" t="s">
        <v>659</v>
      </c>
    </row>
    <row r="198" spans="1:12" ht="13.5" customHeight="1">
      <c r="A198" s="91">
        <v>10405066</v>
      </c>
      <c r="B198" s="99" t="s">
        <v>1343</v>
      </c>
      <c r="C198" s="100" t="s">
        <v>258</v>
      </c>
      <c r="D198" s="56">
        <v>900</v>
      </c>
      <c r="E198" s="56" t="s">
        <v>264</v>
      </c>
      <c r="F198" s="60">
        <v>5066</v>
      </c>
      <c r="G198" s="60" t="s">
        <v>282</v>
      </c>
      <c r="H198" s="60">
        <v>5165</v>
      </c>
      <c r="I198" s="60" t="s">
        <v>625</v>
      </c>
      <c r="J198" s="101">
        <v>2</v>
      </c>
      <c r="K198" s="107">
        <v>104</v>
      </c>
      <c r="L198" s="79" t="s">
        <v>659</v>
      </c>
    </row>
    <row r="199" spans="1:12" ht="13.5" customHeight="1">
      <c r="A199" s="91">
        <v>10405166</v>
      </c>
      <c r="B199" s="99" t="s">
        <v>1344</v>
      </c>
      <c r="C199" s="100" t="s">
        <v>258</v>
      </c>
      <c r="D199" s="56">
        <v>900</v>
      </c>
      <c r="E199" s="56" t="s">
        <v>264</v>
      </c>
      <c r="F199" s="60">
        <v>5166</v>
      </c>
      <c r="G199" s="60" t="s">
        <v>282</v>
      </c>
      <c r="H199" s="60">
        <v>5265</v>
      </c>
      <c r="I199" s="60" t="s">
        <v>626</v>
      </c>
      <c r="J199" s="101">
        <v>2</v>
      </c>
      <c r="K199" s="107">
        <v>104</v>
      </c>
      <c r="L199" s="79" t="s">
        <v>659</v>
      </c>
    </row>
    <row r="200" spans="1:12" ht="13.5" customHeight="1">
      <c r="A200" s="91">
        <v>10405266</v>
      </c>
      <c r="B200" s="99" t="s">
        <v>1345</v>
      </c>
      <c r="C200" s="100" t="s">
        <v>258</v>
      </c>
      <c r="D200" s="56">
        <v>900</v>
      </c>
      <c r="E200" s="56" t="s">
        <v>264</v>
      </c>
      <c r="F200" s="60">
        <v>5266</v>
      </c>
      <c r="G200" s="60" t="s">
        <v>282</v>
      </c>
      <c r="H200" s="60">
        <v>5365</v>
      </c>
      <c r="I200" s="60" t="s">
        <v>627</v>
      </c>
      <c r="J200" s="101">
        <v>3</v>
      </c>
      <c r="K200" s="107">
        <v>104</v>
      </c>
      <c r="L200" s="79" t="s">
        <v>659</v>
      </c>
    </row>
    <row r="201" spans="1:12" ht="13.5" customHeight="1">
      <c r="A201" s="91">
        <v>10405366</v>
      </c>
      <c r="B201" s="99" t="s">
        <v>1346</v>
      </c>
      <c r="C201" s="100" t="s">
        <v>258</v>
      </c>
      <c r="D201" s="56">
        <v>900</v>
      </c>
      <c r="E201" s="56" t="s">
        <v>264</v>
      </c>
      <c r="F201" s="60">
        <v>5366</v>
      </c>
      <c r="G201" s="60" t="s">
        <v>282</v>
      </c>
      <c r="H201" s="60">
        <v>5465</v>
      </c>
      <c r="I201" s="60" t="s">
        <v>628</v>
      </c>
      <c r="J201" s="101">
        <v>3</v>
      </c>
      <c r="K201" s="107">
        <v>104</v>
      </c>
      <c r="L201" s="79" t="s">
        <v>659</v>
      </c>
    </row>
    <row r="202" spans="1:12" ht="13.5" customHeight="1">
      <c r="A202" s="91">
        <v>10405466</v>
      </c>
      <c r="B202" s="99" t="s">
        <v>1347</v>
      </c>
      <c r="C202" s="100" t="s">
        <v>258</v>
      </c>
      <c r="D202" s="56">
        <v>900</v>
      </c>
      <c r="E202" s="56" t="s">
        <v>264</v>
      </c>
      <c r="F202" s="60">
        <v>5466</v>
      </c>
      <c r="G202" s="60" t="s">
        <v>282</v>
      </c>
      <c r="H202" s="60">
        <v>5565</v>
      </c>
      <c r="I202" s="60" t="s">
        <v>629</v>
      </c>
      <c r="J202" s="101">
        <v>3</v>
      </c>
      <c r="K202" s="107">
        <v>104</v>
      </c>
      <c r="L202" s="79" t="s">
        <v>659</v>
      </c>
    </row>
    <row r="203" spans="1:12" ht="13.5" customHeight="1">
      <c r="A203" s="91">
        <v>10405566</v>
      </c>
      <c r="B203" s="99" t="s">
        <v>1348</v>
      </c>
      <c r="C203" s="100" t="s">
        <v>258</v>
      </c>
      <c r="D203" s="56">
        <v>900</v>
      </c>
      <c r="E203" s="56" t="s">
        <v>264</v>
      </c>
      <c r="F203" s="60">
        <v>5566</v>
      </c>
      <c r="G203" s="60" t="s">
        <v>282</v>
      </c>
      <c r="H203" s="60">
        <v>5665</v>
      </c>
      <c r="I203" s="60" t="s">
        <v>630</v>
      </c>
      <c r="J203" s="101">
        <v>3</v>
      </c>
      <c r="K203" s="107">
        <v>104</v>
      </c>
      <c r="L203" s="79" t="s">
        <v>659</v>
      </c>
    </row>
    <row r="204" spans="1:12" ht="13.5" customHeight="1">
      <c r="A204" s="91">
        <v>10405666</v>
      </c>
      <c r="B204" s="99" t="s">
        <v>1349</v>
      </c>
      <c r="C204" s="100" t="s">
        <v>258</v>
      </c>
      <c r="D204" s="56">
        <v>900</v>
      </c>
      <c r="E204" s="56" t="s">
        <v>264</v>
      </c>
      <c r="F204" s="60">
        <v>5666</v>
      </c>
      <c r="G204" s="60" t="s">
        <v>282</v>
      </c>
      <c r="H204" s="60">
        <v>5765</v>
      </c>
      <c r="I204" s="60" t="s">
        <v>631</v>
      </c>
      <c r="J204" s="101">
        <v>3</v>
      </c>
      <c r="K204" s="107">
        <v>104</v>
      </c>
      <c r="L204" s="79" t="s">
        <v>659</v>
      </c>
    </row>
    <row r="205" spans="1:12" ht="13.5" customHeight="1">
      <c r="A205" s="91">
        <v>10405766</v>
      </c>
      <c r="B205" s="99" t="s">
        <v>1350</v>
      </c>
      <c r="C205" s="100" t="s">
        <v>258</v>
      </c>
      <c r="D205" s="56">
        <v>900</v>
      </c>
      <c r="E205" s="56" t="s">
        <v>264</v>
      </c>
      <c r="F205" s="60">
        <v>5766</v>
      </c>
      <c r="G205" s="60" t="s">
        <v>282</v>
      </c>
      <c r="H205" s="60">
        <v>5865</v>
      </c>
      <c r="I205" s="60" t="s">
        <v>632</v>
      </c>
      <c r="J205" s="101">
        <v>3</v>
      </c>
      <c r="K205" s="107">
        <v>104</v>
      </c>
      <c r="L205" s="79" t="s">
        <v>659</v>
      </c>
    </row>
    <row r="206" spans="1:12" ht="13.5" customHeight="1">
      <c r="A206" s="91">
        <v>10405866</v>
      </c>
      <c r="B206" s="99" t="s">
        <v>1351</v>
      </c>
      <c r="C206" s="100" t="s">
        <v>258</v>
      </c>
      <c r="D206" s="56">
        <v>900</v>
      </c>
      <c r="E206" s="56" t="s">
        <v>264</v>
      </c>
      <c r="F206" s="60">
        <v>5866</v>
      </c>
      <c r="G206" s="60" t="s">
        <v>282</v>
      </c>
      <c r="H206" s="60">
        <v>5965</v>
      </c>
      <c r="I206" s="60" t="s">
        <v>633</v>
      </c>
      <c r="J206" s="101">
        <v>3</v>
      </c>
      <c r="K206" s="107">
        <v>104</v>
      </c>
      <c r="L206" s="79" t="s">
        <v>659</v>
      </c>
    </row>
    <row r="207" spans="1:12" ht="13.5" customHeight="1">
      <c r="A207" s="91">
        <v>10405966</v>
      </c>
      <c r="B207" s="99" t="s">
        <v>1352</v>
      </c>
      <c r="C207" s="100" t="s">
        <v>258</v>
      </c>
      <c r="D207" s="56">
        <v>900</v>
      </c>
      <c r="E207" s="56" t="s">
        <v>264</v>
      </c>
      <c r="F207" s="60">
        <v>5966</v>
      </c>
      <c r="G207" s="60" t="s">
        <v>282</v>
      </c>
      <c r="H207" s="60">
        <v>6065</v>
      </c>
      <c r="I207" s="60" t="s">
        <v>634</v>
      </c>
      <c r="J207" s="101">
        <v>3</v>
      </c>
      <c r="K207" s="107">
        <v>104</v>
      </c>
      <c r="L207" s="79" t="s">
        <v>659</v>
      </c>
    </row>
    <row r="208" spans="1:12" ht="13.5" customHeight="1">
      <c r="A208" s="91">
        <v>10406066</v>
      </c>
      <c r="B208" s="99" t="s">
        <v>1353</v>
      </c>
      <c r="C208" s="100" t="s">
        <v>258</v>
      </c>
      <c r="D208" s="56">
        <v>900</v>
      </c>
      <c r="E208" s="56" t="s">
        <v>264</v>
      </c>
      <c r="F208" s="60">
        <v>6066</v>
      </c>
      <c r="G208" s="60" t="s">
        <v>282</v>
      </c>
      <c r="H208" s="60">
        <v>6165</v>
      </c>
      <c r="I208" s="60" t="s">
        <v>635</v>
      </c>
      <c r="J208" s="101">
        <v>4</v>
      </c>
      <c r="K208" s="107">
        <v>104</v>
      </c>
      <c r="L208" s="79" t="s">
        <v>659</v>
      </c>
    </row>
    <row r="209" spans="1:12" ht="13.5" customHeight="1">
      <c r="A209" s="91">
        <v>10406166</v>
      </c>
      <c r="B209" s="99" t="s">
        <v>1354</v>
      </c>
      <c r="C209" s="100" t="s">
        <v>258</v>
      </c>
      <c r="D209" s="56">
        <v>900</v>
      </c>
      <c r="E209" s="56" t="s">
        <v>264</v>
      </c>
      <c r="F209" s="60">
        <v>6166</v>
      </c>
      <c r="G209" s="60" t="s">
        <v>282</v>
      </c>
      <c r="H209" s="60">
        <v>6265</v>
      </c>
      <c r="I209" s="60" t="s">
        <v>636</v>
      </c>
      <c r="J209" s="101">
        <v>4</v>
      </c>
      <c r="K209" s="107">
        <v>104</v>
      </c>
      <c r="L209" s="79" t="s">
        <v>659</v>
      </c>
    </row>
    <row r="210" spans="1:12" ht="13.5" customHeight="1">
      <c r="A210" s="91">
        <v>10406266</v>
      </c>
      <c r="B210" s="99" t="s">
        <v>1355</v>
      </c>
      <c r="C210" s="100" t="s">
        <v>258</v>
      </c>
      <c r="D210" s="56">
        <v>900</v>
      </c>
      <c r="E210" s="56" t="s">
        <v>264</v>
      </c>
      <c r="F210" s="60">
        <v>6266</v>
      </c>
      <c r="G210" s="60" t="s">
        <v>282</v>
      </c>
      <c r="H210" s="60">
        <v>6365</v>
      </c>
      <c r="I210" s="60" t="s">
        <v>637</v>
      </c>
      <c r="J210" s="101">
        <v>4</v>
      </c>
      <c r="K210" s="107">
        <v>104</v>
      </c>
      <c r="L210" s="79" t="s">
        <v>659</v>
      </c>
    </row>
    <row r="211" spans="1:12" ht="13.5" customHeight="1">
      <c r="A211" s="91">
        <v>10406366</v>
      </c>
      <c r="B211" s="99" t="s">
        <v>1356</v>
      </c>
      <c r="C211" s="100" t="s">
        <v>258</v>
      </c>
      <c r="D211" s="56">
        <v>900</v>
      </c>
      <c r="E211" s="56" t="s">
        <v>264</v>
      </c>
      <c r="F211" s="60">
        <v>6366</v>
      </c>
      <c r="G211" s="60" t="s">
        <v>282</v>
      </c>
      <c r="H211" s="60">
        <v>6465</v>
      </c>
      <c r="I211" s="60" t="s">
        <v>638</v>
      </c>
      <c r="J211" s="101">
        <v>4</v>
      </c>
      <c r="K211" s="107">
        <v>104</v>
      </c>
      <c r="L211" s="79" t="s">
        <v>659</v>
      </c>
    </row>
    <row r="212" spans="1:12" ht="13.5" customHeight="1">
      <c r="A212" s="91">
        <v>10406466</v>
      </c>
      <c r="B212" s="99" t="s">
        <v>1357</v>
      </c>
      <c r="C212" s="100" t="s">
        <v>258</v>
      </c>
      <c r="D212" s="56">
        <v>900</v>
      </c>
      <c r="E212" s="56" t="s">
        <v>264</v>
      </c>
      <c r="F212" s="60">
        <v>6466</v>
      </c>
      <c r="G212" s="60" t="s">
        <v>282</v>
      </c>
      <c r="H212" s="60">
        <v>6565</v>
      </c>
      <c r="I212" s="60" t="s">
        <v>639</v>
      </c>
      <c r="J212" s="101">
        <v>4</v>
      </c>
      <c r="K212" s="107">
        <v>104</v>
      </c>
      <c r="L212" s="79" t="s">
        <v>659</v>
      </c>
    </row>
    <row r="213" spans="1:12" ht="13.5" customHeight="1">
      <c r="A213" s="91">
        <v>10406566</v>
      </c>
      <c r="B213" s="99" t="s">
        <v>1358</v>
      </c>
      <c r="C213" s="100" t="s">
        <v>258</v>
      </c>
      <c r="D213" s="56">
        <v>900</v>
      </c>
      <c r="E213" s="56" t="s">
        <v>264</v>
      </c>
      <c r="F213" s="60">
        <v>6566</v>
      </c>
      <c r="G213" s="60" t="s">
        <v>282</v>
      </c>
      <c r="H213" s="60">
        <v>6665</v>
      </c>
      <c r="I213" s="60" t="s">
        <v>640</v>
      </c>
      <c r="J213" s="101">
        <v>4</v>
      </c>
      <c r="K213" s="107">
        <v>104</v>
      </c>
      <c r="L213" s="79" t="s">
        <v>659</v>
      </c>
    </row>
    <row r="214" spans="1:12" ht="13.5" customHeight="1">
      <c r="A214" s="91">
        <v>10406666</v>
      </c>
      <c r="B214" s="99" t="s">
        <v>1359</v>
      </c>
      <c r="C214" s="100" t="s">
        <v>258</v>
      </c>
      <c r="D214" s="56">
        <v>900</v>
      </c>
      <c r="E214" s="56" t="s">
        <v>264</v>
      </c>
      <c r="F214" s="60">
        <v>6666</v>
      </c>
      <c r="G214" s="60" t="s">
        <v>282</v>
      </c>
      <c r="H214" s="60">
        <v>6765</v>
      </c>
      <c r="I214" s="60" t="s">
        <v>641</v>
      </c>
      <c r="J214" s="101">
        <v>4</v>
      </c>
      <c r="K214" s="107">
        <v>104</v>
      </c>
      <c r="L214" s="79" t="s">
        <v>659</v>
      </c>
    </row>
    <row r="215" spans="1:12" ht="13.5" customHeight="1">
      <c r="A215" s="91">
        <v>10406766</v>
      </c>
      <c r="B215" s="99" t="s">
        <v>1360</v>
      </c>
      <c r="C215" s="100" t="s">
        <v>258</v>
      </c>
      <c r="D215" s="56">
        <v>900</v>
      </c>
      <c r="E215" s="56" t="s">
        <v>264</v>
      </c>
      <c r="F215" s="60">
        <v>6766</v>
      </c>
      <c r="G215" s="60" t="s">
        <v>282</v>
      </c>
      <c r="H215" s="60">
        <v>6865</v>
      </c>
      <c r="I215" s="60" t="s">
        <v>642</v>
      </c>
      <c r="J215" s="101">
        <v>4</v>
      </c>
      <c r="K215" s="107">
        <v>104</v>
      </c>
      <c r="L215" s="79" t="s">
        <v>659</v>
      </c>
    </row>
    <row r="216" spans="1:12" ht="13.5" customHeight="1">
      <c r="A216" s="91">
        <v>10406866</v>
      </c>
      <c r="B216" s="99" t="s">
        <v>1361</v>
      </c>
      <c r="C216" s="100" t="s">
        <v>258</v>
      </c>
      <c r="D216" s="56">
        <v>900</v>
      </c>
      <c r="E216" s="56" t="s">
        <v>264</v>
      </c>
      <c r="F216" s="60">
        <v>6866</v>
      </c>
      <c r="G216" s="60" t="s">
        <v>282</v>
      </c>
      <c r="H216" s="60">
        <v>6965</v>
      </c>
      <c r="I216" s="60" t="s">
        <v>643</v>
      </c>
      <c r="J216" s="101">
        <v>5</v>
      </c>
      <c r="K216" s="107">
        <v>104</v>
      </c>
      <c r="L216" s="79" t="s">
        <v>659</v>
      </c>
    </row>
    <row r="217" spans="1:12" ht="13.5" customHeight="1">
      <c r="A217" s="91">
        <v>10406966</v>
      </c>
      <c r="B217" s="99" t="s">
        <v>1362</v>
      </c>
      <c r="C217" s="100" t="s">
        <v>258</v>
      </c>
      <c r="D217" s="56">
        <v>900</v>
      </c>
      <c r="E217" s="56" t="s">
        <v>264</v>
      </c>
      <c r="F217" s="60">
        <v>6966</v>
      </c>
      <c r="G217" s="60" t="s">
        <v>282</v>
      </c>
      <c r="H217" s="60">
        <v>7065</v>
      </c>
      <c r="I217" s="60" t="s">
        <v>644</v>
      </c>
      <c r="J217" s="101">
        <v>5</v>
      </c>
      <c r="K217" s="107">
        <v>104</v>
      </c>
      <c r="L217" s="79" t="s">
        <v>659</v>
      </c>
    </row>
    <row r="218" spans="1:12" ht="13.5" customHeight="1">
      <c r="A218" s="91">
        <v>10407066</v>
      </c>
      <c r="B218" s="99" t="s">
        <v>1363</v>
      </c>
      <c r="C218" s="100" t="s">
        <v>258</v>
      </c>
      <c r="D218" s="56">
        <v>900</v>
      </c>
      <c r="E218" s="56" t="s">
        <v>264</v>
      </c>
      <c r="F218" s="60">
        <v>7066</v>
      </c>
      <c r="G218" s="60" t="s">
        <v>282</v>
      </c>
      <c r="H218" s="60">
        <v>7165</v>
      </c>
      <c r="I218" s="60" t="s">
        <v>645</v>
      </c>
      <c r="J218" s="101">
        <v>5</v>
      </c>
      <c r="K218" s="107">
        <v>104</v>
      </c>
      <c r="L218" s="79" t="s">
        <v>659</v>
      </c>
    </row>
    <row r="219" spans="1:12" ht="13.5" customHeight="1">
      <c r="A219" s="91">
        <v>10407166</v>
      </c>
      <c r="B219" s="99" t="s">
        <v>1364</v>
      </c>
      <c r="C219" s="100" t="s">
        <v>258</v>
      </c>
      <c r="D219" s="56">
        <v>900</v>
      </c>
      <c r="E219" s="56" t="s">
        <v>264</v>
      </c>
      <c r="F219" s="60">
        <v>7166</v>
      </c>
      <c r="G219" s="60" t="s">
        <v>282</v>
      </c>
      <c r="H219" s="60">
        <v>7265</v>
      </c>
      <c r="I219" s="60" t="s">
        <v>646</v>
      </c>
      <c r="J219" s="101">
        <v>5</v>
      </c>
      <c r="K219" s="107">
        <v>104</v>
      </c>
      <c r="L219" s="79" t="s">
        <v>659</v>
      </c>
    </row>
    <row r="220" spans="1:12" ht="13.5" customHeight="1">
      <c r="A220" s="91">
        <v>10407266</v>
      </c>
      <c r="B220" s="99" t="s">
        <v>1365</v>
      </c>
      <c r="C220" s="100" t="s">
        <v>258</v>
      </c>
      <c r="D220" s="56">
        <v>900</v>
      </c>
      <c r="E220" s="56" t="s">
        <v>264</v>
      </c>
      <c r="F220" s="60">
        <v>7266</v>
      </c>
      <c r="G220" s="60" t="s">
        <v>282</v>
      </c>
      <c r="H220" s="60">
        <v>7365</v>
      </c>
      <c r="I220" s="60" t="s">
        <v>647</v>
      </c>
      <c r="J220" s="101">
        <v>5</v>
      </c>
      <c r="K220" s="107">
        <v>104</v>
      </c>
      <c r="L220" s="79" t="s">
        <v>659</v>
      </c>
    </row>
    <row r="221" spans="1:12" ht="13.5" customHeight="1">
      <c r="A221" s="91">
        <v>10407366</v>
      </c>
      <c r="B221" s="99" t="s">
        <v>1366</v>
      </c>
      <c r="C221" s="100" t="s">
        <v>258</v>
      </c>
      <c r="D221" s="56">
        <v>900</v>
      </c>
      <c r="E221" s="56" t="s">
        <v>264</v>
      </c>
      <c r="F221" s="60">
        <v>7366</v>
      </c>
      <c r="G221" s="60" t="s">
        <v>282</v>
      </c>
      <c r="H221" s="60">
        <v>7465</v>
      </c>
      <c r="I221" s="60" t="s">
        <v>648</v>
      </c>
      <c r="J221" s="101">
        <v>5</v>
      </c>
      <c r="K221" s="107">
        <v>104</v>
      </c>
      <c r="L221" s="79" t="s">
        <v>659</v>
      </c>
    </row>
    <row r="222" spans="1:12" ht="13.5" customHeight="1">
      <c r="A222" s="91">
        <v>10407466</v>
      </c>
      <c r="B222" s="99" t="s">
        <v>1367</v>
      </c>
      <c r="C222" s="100" t="s">
        <v>258</v>
      </c>
      <c r="D222" s="56">
        <v>900</v>
      </c>
      <c r="E222" s="56" t="s">
        <v>264</v>
      </c>
      <c r="F222" s="60">
        <v>7466</v>
      </c>
      <c r="G222" s="60" t="s">
        <v>282</v>
      </c>
      <c r="H222" s="60">
        <v>7565</v>
      </c>
      <c r="I222" s="60" t="s">
        <v>649</v>
      </c>
      <c r="J222" s="101">
        <v>5</v>
      </c>
      <c r="K222" s="107">
        <v>104</v>
      </c>
      <c r="L222" s="79" t="s">
        <v>659</v>
      </c>
    </row>
    <row r="223" spans="1:12" ht="13.5" customHeight="1">
      <c r="A223" s="91">
        <v>10407566</v>
      </c>
      <c r="B223" s="99" t="s">
        <v>1368</v>
      </c>
      <c r="C223" s="100" t="s">
        <v>258</v>
      </c>
      <c r="D223" s="56">
        <v>900</v>
      </c>
      <c r="E223" s="56" t="s">
        <v>264</v>
      </c>
      <c r="F223" s="60">
        <v>7566</v>
      </c>
      <c r="G223" s="60" t="s">
        <v>282</v>
      </c>
      <c r="H223" s="60">
        <v>7665</v>
      </c>
      <c r="I223" s="60" t="s">
        <v>650</v>
      </c>
      <c r="J223" s="101">
        <v>5</v>
      </c>
      <c r="K223" s="107">
        <v>104</v>
      </c>
      <c r="L223" s="79" t="s">
        <v>659</v>
      </c>
    </row>
    <row r="224" spans="1:12" ht="13.5" customHeight="1">
      <c r="A224" s="91">
        <v>10407666</v>
      </c>
      <c r="B224" s="99" t="s">
        <v>1369</v>
      </c>
      <c r="C224" s="100" t="s">
        <v>258</v>
      </c>
      <c r="D224" s="56">
        <v>900</v>
      </c>
      <c r="E224" s="56" t="s">
        <v>264</v>
      </c>
      <c r="F224" s="60">
        <v>7666</v>
      </c>
      <c r="G224" s="60" t="s">
        <v>282</v>
      </c>
      <c r="H224" s="60">
        <v>7765</v>
      </c>
      <c r="I224" s="60" t="s">
        <v>651</v>
      </c>
      <c r="J224" s="101">
        <v>6</v>
      </c>
      <c r="K224" s="107">
        <v>104</v>
      </c>
      <c r="L224" s="79" t="s">
        <v>659</v>
      </c>
    </row>
    <row r="225" spans="1:12" ht="13.5" customHeight="1">
      <c r="A225" s="91">
        <v>10407766</v>
      </c>
      <c r="B225" s="99" t="s">
        <v>1370</v>
      </c>
      <c r="C225" s="100" t="s">
        <v>258</v>
      </c>
      <c r="D225" s="56">
        <v>900</v>
      </c>
      <c r="E225" s="56" t="s">
        <v>264</v>
      </c>
      <c r="F225" s="60">
        <v>7766</v>
      </c>
      <c r="G225" s="60" t="s">
        <v>282</v>
      </c>
      <c r="H225" s="60">
        <v>7865</v>
      </c>
      <c r="I225" s="60" t="s">
        <v>652</v>
      </c>
      <c r="J225" s="101">
        <v>6</v>
      </c>
      <c r="K225" s="107">
        <v>104</v>
      </c>
      <c r="L225" s="79" t="s">
        <v>659</v>
      </c>
    </row>
    <row r="226" spans="1:12" ht="13.5" customHeight="1">
      <c r="A226" s="91">
        <v>10407866</v>
      </c>
      <c r="B226" s="99" t="s">
        <v>1371</v>
      </c>
      <c r="C226" s="100" t="s">
        <v>258</v>
      </c>
      <c r="D226" s="56">
        <v>900</v>
      </c>
      <c r="E226" s="56" t="s">
        <v>264</v>
      </c>
      <c r="F226" s="60">
        <v>7866</v>
      </c>
      <c r="G226" s="60" t="s">
        <v>282</v>
      </c>
      <c r="H226" s="60">
        <v>7965</v>
      </c>
      <c r="I226" s="60" t="s">
        <v>653</v>
      </c>
      <c r="J226" s="101">
        <v>6</v>
      </c>
      <c r="K226" s="107">
        <v>104</v>
      </c>
      <c r="L226" s="79" t="s">
        <v>659</v>
      </c>
    </row>
    <row r="227" spans="1:12" ht="13.5" customHeight="1">
      <c r="A227" s="91">
        <v>10407966</v>
      </c>
      <c r="B227" s="99" t="s">
        <v>1372</v>
      </c>
      <c r="C227" s="100" t="s">
        <v>258</v>
      </c>
      <c r="D227" s="56">
        <v>900</v>
      </c>
      <c r="E227" s="56" t="s">
        <v>264</v>
      </c>
      <c r="F227" s="60">
        <v>7966</v>
      </c>
      <c r="G227" s="60" t="s">
        <v>282</v>
      </c>
      <c r="H227" s="60">
        <v>8065</v>
      </c>
      <c r="I227" s="60" t="s">
        <v>654</v>
      </c>
      <c r="J227" s="101">
        <v>6</v>
      </c>
      <c r="K227" s="107">
        <v>104</v>
      </c>
      <c r="L227" s="79" t="s">
        <v>659</v>
      </c>
    </row>
    <row r="228" spans="1:12" ht="13.5" customHeight="1">
      <c r="A228" s="91">
        <v>10500000</v>
      </c>
      <c r="B228" s="99" t="s">
        <v>1373</v>
      </c>
      <c r="C228" s="100" t="s">
        <v>258</v>
      </c>
      <c r="D228" s="56">
        <v>1000</v>
      </c>
      <c r="E228" s="56" t="s">
        <v>596</v>
      </c>
      <c r="F228" s="56">
        <v>0</v>
      </c>
      <c r="G228" s="56" t="s">
        <v>282</v>
      </c>
      <c r="H228" s="56">
        <v>2645</v>
      </c>
      <c r="I228" s="56" t="s">
        <v>597</v>
      </c>
      <c r="J228" s="108">
        <v>0</v>
      </c>
      <c r="K228" s="107">
        <v>105</v>
      </c>
      <c r="L228" s="79" t="s">
        <v>659</v>
      </c>
    </row>
    <row r="229" spans="1:12" ht="13.5" customHeight="1">
      <c r="A229" s="91">
        <v>10502646</v>
      </c>
      <c r="B229" s="99" t="s">
        <v>1374</v>
      </c>
      <c r="C229" s="100" t="s">
        <v>258</v>
      </c>
      <c r="D229" s="56">
        <v>1000</v>
      </c>
      <c r="E229" s="56" t="s">
        <v>596</v>
      </c>
      <c r="F229" s="56">
        <v>2646</v>
      </c>
      <c r="G229" s="56" t="s">
        <v>282</v>
      </c>
      <c r="H229" s="56">
        <v>2715</v>
      </c>
      <c r="I229" s="56" t="s">
        <v>599</v>
      </c>
      <c r="J229" s="108">
        <v>0</v>
      </c>
      <c r="K229" s="107">
        <v>105</v>
      </c>
      <c r="L229" s="79" t="s">
        <v>659</v>
      </c>
    </row>
    <row r="230" spans="1:12" ht="13.5" customHeight="1">
      <c r="A230" s="91">
        <v>10502716</v>
      </c>
      <c r="B230" s="99" t="s">
        <v>1375</v>
      </c>
      <c r="C230" s="100" t="s">
        <v>258</v>
      </c>
      <c r="D230" s="56">
        <v>1000</v>
      </c>
      <c r="E230" s="56" t="s">
        <v>596</v>
      </c>
      <c r="F230" s="56">
        <v>2716</v>
      </c>
      <c r="G230" s="56" t="s">
        <v>282</v>
      </c>
      <c r="H230" s="56">
        <v>2765</v>
      </c>
      <c r="I230" s="56" t="s">
        <v>600</v>
      </c>
      <c r="J230" s="108">
        <v>0</v>
      </c>
      <c r="K230" s="107">
        <v>105</v>
      </c>
      <c r="L230" s="79" t="s">
        <v>659</v>
      </c>
    </row>
    <row r="231" spans="1:12" ht="14.25" customHeight="1">
      <c r="A231" s="91">
        <v>10502766</v>
      </c>
      <c r="B231" s="99" t="s">
        <v>1376</v>
      </c>
      <c r="C231" s="100" t="s">
        <v>258</v>
      </c>
      <c r="D231" s="56">
        <v>1000</v>
      </c>
      <c r="E231" s="56" t="s">
        <v>596</v>
      </c>
      <c r="F231" s="56">
        <v>2766</v>
      </c>
      <c r="G231" s="56" t="s">
        <v>282</v>
      </c>
      <c r="H231" s="56">
        <v>2865</v>
      </c>
      <c r="I231" s="56" t="s">
        <v>602</v>
      </c>
      <c r="J231" s="108">
        <v>0</v>
      </c>
      <c r="K231" s="107">
        <v>105</v>
      </c>
      <c r="L231" s="79" t="s">
        <v>659</v>
      </c>
    </row>
    <row r="232" spans="1:12" ht="13.5" customHeight="1">
      <c r="A232" s="91">
        <v>10502866</v>
      </c>
      <c r="B232" s="99" t="s">
        <v>1377</v>
      </c>
      <c r="C232" s="100" t="s">
        <v>258</v>
      </c>
      <c r="D232" s="56">
        <v>1000</v>
      </c>
      <c r="E232" s="56" t="s">
        <v>596</v>
      </c>
      <c r="F232" s="56">
        <v>2866</v>
      </c>
      <c r="G232" s="56" t="s">
        <v>282</v>
      </c>
      <c r="H232" s="56">
        <v>2965</v>
      </c>
      <c r="I232" s="56" t="s">
        <v>603</v>
      </c>
      <c r="J232" s="108">
        <v>0</v>
      </c>
      <c r="K232" s="107">
        <v>105</v>
      </c>
      <c r="L232" s="79" t="s">
        <v>659</v>
      </c>
    </row>
    <row r="233" spans="1:12" ht="13.5" customHeight="1">
      <c r="A233" s="91">
        <v>10502966</v>
      </c>
      <c r="B233" s="99" t="s">
        <v>1378</v>
      </c>
      <c r="C233" s="100" t="s">
        <v>258</v>
      </c>
      <c r="D233" s="56">
        <v>1000</v>
      </c>
      <c r="E233" s="56" t="s">
        <v>596</v>
      </c>
      <c r="F233" s="56">
        <v>2966</v>
      </c>
      <c r="G233" s="56" t="s">
        <v>282</v>
      </c>
      <c r="H233" s="56">
        <v>3065</v>
      </c>
      <c r="I233" s="56" t="s">
        <v>604</v>
      </c>
      <c r="J233" s="108">
        <v>0</v>
      </c>
      <c r="K233" s="107">
        <v>105</v>
      </c>
      <c r="L233" s="79" t="s">
        <v>659</v>
      </c>
    </row>
    <row r="234" spans="1:12" ht="13.5" customHeight="1">
      <c r="A234" s="91">
        <v>10503066</v>
      </c>
      <c r="B234" s="99" t="s">
        <v>1379</v>
      </c>
      <c r="C234" s="100" t="s">
        <v>258</v>
      </c>
      <c r="D234" s="56">
        <v>1000</v>
      </c>
      <c r="E234" s="56" t="s">
        <v>596</v>
      </c>
      <c r="F234" s="56">
        <v>3066</v>
      </c>
      <c r="G234" s="56" t="s">
        <v>282</v>
      </c>
      <c r="H234" s="56">
        <v>3165</v>
      </c>
      <c r="I234" s="56" t="s">
        <v>605</v>
      </c>
      <c r="J234" s="108">
        <v>0</v>
      </c>
      <c r="K234" s="107">
        <v>105</v>
      </c>
      <c r="L234" s="79" t="s">
        <v>659</v>
      </c>
    </row>
    <row r="235" spans="1:12" ht="13.5" customHeight="1">
      <c r="A235" s="91">
        <v>10503166</v>
      </c>
      <c r="B235" s="99" t="s">
        <v>1380</v>
      </c>
      <c r="C235" s="100" t="s">
        <v>258</v>
      </c>
      <c r="D235" s="56">
        <v>1000</v>
      </c>
      <c r="E235" s="56" t="s">
        <v>596</v>
      </c>
      <c r="F235" s="56">
        <v>3166</v>
      </c>
      <c r="G235" s="56" t="s">
        <v>282</v>
      </c>
      <c r="H235" s="56">
        <v>3265</v>
      </c>
      <c r="I235" s="56" t="s">
        <v>606</v>
      </c>
      <c r="J235" s="108">
        <v>0</v>
      </c>
      <c r="K235" s="107">
        <v>105</v>
      </c>
      <c r="L235" s="79" t="s">
        <v>659</v>
      </c>
    </row>
    <row r="236" spans="1:12" ht="13.5" customHeight="1">
      <c r="A236" s="91">
        <v>10503266</v>
      </c>
      <c r="B236" s="99" t="s">
        <v>1381</v>
      </c>
      <c r="C236" s="100" t="s">
        <v>258</v>
      </c>
      <c r="D236" s="56">
        <v>1000</v>
      </c>
      <c r="E236" s="56" t="s">
        <v>596</v>
      </c>
      <c r="F236" s="56">
        <v>3266</v>
      </c>
      <c r="G236" s="56" t="s">
        <v>282</v>
      </c>
      <c r="H236" s="56">
        <v>3365</v>
      </c>
      <c r="I236" s="56" t="s">
        <v>607</v>
      </c>
      <c r="J236" s="108">
        <v>0</v>
      </c>
      <c r="K236" s="107">
        <v>105</v>
      </c>
      <c r="L236" s="79" t="s">
        <v>659</v>
      </c>
    </row>
    <row r="237" spans="1:12" ht="13.5" customHeight="1">
      <c r="A237" s="91">
        <v>10503366</v>
      </c>
      <c r="B237" s="99" t="s">
        <v>1382</v>
      </c>
      <c r="C237" s="100" t="s">
        <v>258</v>
      </c>
      <c r="D237" s="56">
        <v>1000</v>
      </c>
      <c r="E237" s="56" t="s">
        <v>596</v>
      </c>
      <c r="F237" s="56">
        <v>3366</v>
      </c>
      <c r="G237" s="56" t="s">
        <v>282</v>
      </c>
      <c r="H237" s="56">
        <v>3465</v>
      </c>
      <c r="I237" s="56" t="s">
        <v>608</v>
      </c>
      <c r="J237" s="108">
        <v>0</v>
      </c>
      <c r="K237" s="107">
        <v>105</v>
      </c>
      <c r="L237" s="79" t="s">
        <v>659</v>
      </c>
    </row>
    <row r="238" spans="1:12" ht="13.5" customHeight="1">
      <c r="A238" s="91">
        <v>10503466</v>
      </c>
      <c r="B238" s="99" t="s">
        <v>1383</v>
      </c>
      <c r="C238" s="100" t="s">
        <v>258</v>
      </c>
      <c r="D238" s="56">
        <v>1000</v>
      </c>
      <c r="E238" s="56" t="s">
        <v>596</v>
      </c>
      <c r="F238" s="56">
        <v>3466</v>
      </c>
      <c r="G238" s="56" t="s">
        <v>282</v>
      </c>
      <c r="H238" s="56">
        <v>3565</v>
      </c>
      <c r="I238" s="56" t="s">
        <v>609</v>
      </c>
      <c r="J238" s="108">
        <v>0</v>
      </c>
      <c r="K238" s="107">
        <v>105</v>
      </c>
      <c r="L238" s="79" t="s">
        <v>659</v>
      </c>
    </row>
    <row r="239" spans="1:12" ht="13.5" customHeight="1">
      <c r="A239" s="91">
        <v>10503566</v>
      </c>
      <c r="B239" s="99" t="s">
        <v>1384</v>
      </c>
      <c r="C239" s="100" t="s">
        <v>258</v>
      </c>
      <c r="D239" s="56">
        <v>1000</v>
      </c>
      <c r="E239" s="56" t="s">
        <v>596</v>
      </c>
      <c r="F239" s="56">
        <v>3566</v>
      </c>
      <c r="G239" s="56" t="s">
        <v>282</v>
      </c>
      <c r="H239" s="56">
        <v>3665</v>
      </c>
      <c r="I239" s="56" t="s">
        <v>610</v>
      </c>
      <c r="J239" s="108">
        <v>0</v>
      </c>
      <c r="K239" s="107">
        <v>105</v>
      </c>
      <c r="L239" s="79" t="s">
        <v>659</v>
      </c>
    </row>
    <row r="240" spans="1:12" ht="13.5" customHeight="1">
      <c r="A240" s="91">
        <v>10503666</v>
      </c>
      <c r="B240" s="99" t="s">
        <v>1385</v>
      </c>
      <c r="C240" s="100" t="s">
        <v>258</v>
      </c>
      <c r="D240" s="56">
        <v>1000</v>
      </c>
      <c r="E240" s="56" t="s">
        <v>596</v>
      </c>
      <c r="F240" s="56">
        <v>3666</v>
      </c>
      <c r="G240" s="56" t="s">
        <v>282</v>
      </c>
      <c r="H240" s="56">
        <v>3765</v>
      </c>
      <c r="I240" s="56" t="s">
        <v>611</v>
      </c>
      <c r="J240" s="108">
        <v>1</v>
      </c>
      <c r="K240" s="107">
        <v>105</v>
      </c>
      <c r="L240" s="79" t="s">
        <v>659</v>
      </c>
    </row>
    <row r="241" spans="1:12" ht="13.5" customHeight="1">
      <c r="A241" s="91">
        <v>10503766</v>
      </c>
      <c r="B241" s="99" t="s">
        <v>1386</v>
      </c>
      <c r="C241" s="100" t="s">
        <v>258</v>
      </c>
      <c r="D241" s="56">
        <v>1000</v>
      </c>
      <c r="E241" s="56" t="s">
        <v>596</v>
      </c>
      <c r="F241" s="56">
        <v>3766</v>
      </c>
      <c r="G241" s="56" t="s">
        <v>282</v>
      </c>
      <c r="H241" s="56">
        <v>3865</v>
      </c>
      <c r="I241" s="56" t="s">
        <v>612</v>
      </c>
      <c r="J241" s="108">
        <v>1</v>
      </c>
      <c r="K241" s="107">
        <v>105</v>
      </c>
      <c r="L241" s="79" t="s">
        <v>659</v>
      </c>
    </row>
    <row r="242" spans="1:12" ht="13.5" customHeight="1">
      <c r="A242" s="91">
        <v>10503866</v>
      </c>
      <c r="B242" s="99" t="s">
        <v>1387</v>
      </c>
      <c r="C242" s="100" t="s">
        <v>258</v>
      </c>
      <c r="D242" s="56">
        <v>1000</v>
      </c>
      <c r="E242" s="56" t="s">
        <v>596</v>
      </c>
      <c r="F242" s="56">
        <v>3866</v>
      </c>
      <c r="G242" s="56" t="s">
        <v>282</v>
      </c>
      <c r="H242" s="56">
        <v>3965</v>
      </c>
      <c r="I242" s="56" t="s">
        <v>613</v>
      </c>
      <c r="J242" s="108">
        <v>1</v>
      </c>
      <c r="K242" s="107">
        <v>105</v>
      </c>
      <c r="L242" s="79" t="s">
        <v>659</v>
      </c>
    </row>
    <row r="243" spans="1:12" ht="13.5" customHeight="1">
      <c r="A243" s="91">
        <v>10503966</v>
      </c>
      <c r="B243" s="99" t="s">
        <v>1388</v>
      </c>
      <c r="C243" s="100" t="s">
        <v>258</v>
      </c>
      <c r="D243" s="56">
        <v>1000</v>
      </c>
      <c r="E243" s="56" t="s">
        <v>596</v>
      </c>
      <c r="F243" s="56">
        <v>3966</v>
      </c>
      <c r="G243" s="56" t="s">
        <v>282</v>
      </c>
      <c r="H243" s="56">
        <v>4065</v>
      </c>
      <c r="I243" s="56" t="s">
        <v>614</v>
      </c>
      <c r="J243" s="108">
        <v>1</v>
      </c>
      <c r="K243" s="107">
        <v>105</v>
      </c>
      <c r="L243" s="79" t="s">
        <v>659</v>
      </c>
    </row>
    <row r="244" spans="1:12" ht="13.5" customHeight="1">
      <c r="A244" s="91">
        <v>10504066</v>
      </c>
      <c r="B244" s="99" t="s">
        <v>1389</v>
      </c>
      <c r="C244" s="100" t="s">
        <v>258</v>
      </c>
      <c r="D244" s="56">
        <v>1000</v>
      </c>
      <c r="E244" s="56" t="s">
        <v>596</v>
      </c>
      <c r="F244" s="56">
        <v>4066</v>
      </c>
      <c r="G244" s="56" t="s">
        <v>282</v>
      </c>
      <c r="H244" s="56">
        <v>4165</v>
      </c>
      <c r="I244" s="56" t="s">
        <v>615</v>
      </c>
      <c r="J244" s="108">
        <v>1</v>
      </c>
      <c r="K244" s="107">
        <v>105</v>
      </c>
      <c r="L244" s="79" t="s">
        <v>659</v>
      </c>
    </row>
    <row r="245" spans="1:12" ht="13.5" customHeight="1">
      <c r="A245" s="91">
        <v>10504166</v>
      </c>
      <c r="B245" s="99" t="s">
        <v>1390</v>
      </c>
      <c r="C245" s="100" t="s">
        <v>258</v>
      </c>
      <c r="D245" s="56">
        <v>1000</v>
      </c>
      <c r="E245" s="56" t="s">
        <v>596</v>
      </c>
      <c r="F245" s="56">
        <v>4166</v>
      </c>
      <c r="G245" s="56" t="s">
        <v>282</v>
      </c>
      <c r="H245" s="56">
        <v>4265</v>
      </c>
      <c r="I245" s="56" t="s">
        <v>616</v>
      </c>
      <c r="J245" s="108">
        <v>1</v>
      </c>
      <c r="K245" s="107">
        <v>105</v>
      </c>
      <c r="L245" s="79" t="s">
        <v>659</v>
      </c>
    </row>
    <row r="246" spans="1:12" ht="13.5" customHeight="1">
      <c r="A246" s="91">
        <v>10504266</v>
      </c>
      <c r="B246" s="99" t="s">
        <v>1391</v>
      </c>
      <c r="C246" s="100" t="s">
        <v>258</v>
      </c>
      <c r="D246" s="56">
        <v>1000</v>
      </c>
      <c r="E246" s="56" t="s">
        <v>596</v>
      </c>
      <c r="F246" s="56">
        <v>4266</v>
      </c>
      <c r="G246" s="56" t="s">
        <v>282</v>
      </c>
      <c r="H246" s="56">
        <v>4365</v>
      </c>
      <c r="I246" s="56" t="s">
        <v>617</v>
      </c>
      <c r="J246" s="108">
        <v>1</v>
      </c>
      <c r="K246" s="107">
        <v>105</v>
      </c>
      <c r="L246" s="79" t="s">
        <v>659</v>
      </c>
    </row>
    <row r="247" spans="1:12" ht="13.5" customHeight="1">
      <c r="A247" s="91">
        <v>10504366</v>
      </c>
      <c r="B247" s="99" t="s">
        <v>1392</v>
      </c>
      <c r="C247" s="100" t="s">
        <v>258</v>
      </c>
      <c r="D247" s="56">
        <v>1000</v>
      </c>
      <c r="E247" s="56" t="s">
        <v>596</v>
      </c>
      <c r="F247" s="56">
        <v>4366</v>
      </c>
      <c r="G247" s="56" t="s">
        <v>282</v>
      </c>
      <c r="H247" s="56">
        <v>4465</v>
      </c>
      <c r="I247" s="56" t="s">
        <v>618</v>
      </c>
      <c r="J247" s="108">
        <v>1</v>
      </c>
      <c r="K247" s="107">
        <v>105</v>
      </c>
      <c r="L247" s="79" t="s">
        <v>659</v>
      </c>
    </row>
    <row r="248" spans="1:12" ht="13.5" customHeight="1">
      <c r="A248" s="91">
        <v>10504466</v>
      </c>
      <c r="B248" s="99" t="s">
        <v>1393</v>
      </c>
      <c r="C248" s="100" t="s">
        <v>258</v>
      </c>
      <c r="D248" s="56">
        <v>1000</v>
      </c>
      <c r="E248" s="56" t="s">
        <v>596</v>
      </c>
      <c r="F248" s="56">
        <v>4466</v>
      </c>
      <c r="G248" s="56" t="s">
        <v>282</v>
      </c>
      <c r="H248" s="56">
        <v>4565</v>
      </c>
      <c r="I248" s="56" t="s">
        <v>619</v>
      </c>
      <c r="J248" s="108">
        <v>2</v>
      </c>
      <c r="K248" s="107">
        <v>105</v>
      </c>
      <c r="L248" s="79" t="s">
        <v>659</v>
      </c>
    </row>
    <row r="249" spans="1:12" ht="13.5" customHeight="1">
      <c r="A249" s="91">
        <v>10504566</v>
      </c>
      <c r="B249" s="99" t="s">
        <v>1394</v>
      </c>
      <c r="C249" s="100" t="s">
        <v>258</v>
      </c>
      <c r="D249" s="56">
        <v>1000</v>
      </c>
      <c r="E249" s="56" t="s">
        <v>596</v>
      </c>
      <c r="F249" s="56">
        <v>4566</v>
      </c>
      <c r="G249" s="56" t="s">
        <v>282</v>
      </c>
      <c r="H249" s="56">
        <v>4665</v>
      </c>
      <c r="I249" s="56" t="s">
        <v>620</v>
      </c>
      <c r="J249" s="108">
        <v>2</v>
      </c>
      <c r="K249" s="107">
        <v>105</v>
      </c>
      <c r="L249" s="79" t="s">
        <v>659</v>
      </c>
    </row>
    <row r="250" spans="1:12" ht="13.5" customHeight="1">
      <c r="A250" s="91">
        <v>10504666</v>
      </c>
      <c r="B250" s="99" t="s">
        <v>1395</v>
      </c>
      <c r="C250" s="100" t="s">
        <v>258</v>
      </c>
      <c r="D250" s="56">
        <v>1000</v>
      </c>
      <c r="E250" s="56" t="s">
        <v>596</v>
      </c>
      <c r="F250" s="56">
        <v>4666</v>
      </c>
      <c r="G250" s="56" t="s">
        <v>282</v>
      </c>
      <c r="H250" s="56">
        <v>4765</v>
      </c>
      <c r="I250" s="56" t="s">
        <v>621</v>
      </c>
      <c r="J250" s="108">
        <v>2</v>
      </c>
      <c r="K250" s="107">
        <v>105</v>
      </c>
      <c r="L250" s="79" t="s">
        <v>659</v>
      </c>
    </row>
    <row r="251" spans="1:12" ht="13.5" customHeight="1">
      <c r="A251" s="91">
        <v>10504766</v>
      </c>
      <c r="B251" s="99" t="s">
        <v>1396</v>
      </c>
      <c r="C251" s="100" t="s">
        <v>258</v>
      </c>
      <c r="D251" s="56">
        <v>1000</v>
      </c>
      <c r="E251" s="56" t="s">
        <v>596</v>
      </c>
      <c r="F251" s="56">
        <v>4766</v>
      </c>
      <c r="G251" s="56" t="s">
        <v>282</v>
      </c>
      <c r="H251" s="56">
        <v>4865</v>
      </c>
      <c r="I251" s="56" t="s">
        <v>622</v>
      </c>
      <c r="J251" s="108">
        <v>2</v>
      </c>
      <c r="K251" s="107">
        <v>105</v>
      </c>
      <c r="L251" s="79" t="s">
        <v>659</v>
      </c>
    </row>
    <row r="252" spans="1:12" ht="13.5" customHeight="1">
      <c r="A252" s="91">
        <v>10504866</v>
      </c>
      <c r="B252" s="99" t="s">
        <v>1397</v>
      </c>
      <c r="C252" s="100" t="s">
        <v>258</v>
      </c>
      <c r="D252" s="56">
        <v>1000</v>
      </c>
      <c r="E252" s="56" t="s">
        <v>596</v>
      </c>
      <c r="F252" s="56">
        <v>4866</v>
      </c>
      <c r="G252" s="56" t="s">
        <v>282</v>
      </c>
      <c r="H252" s="56">
        <v>4965</v>
      </c>
      <c r="I252" s="56" t="s">
        <v>623</v>
      </c>
      <c r="J252" s="108">
        <v>2</v>
      </c>
      <c r="K252" s="107">
        <v>105</v>
      </c>
      <c r="L252" s="79" t="s">
        <v>659</v>
      </c>
    </row>
    <row r="253" spans="1:12" ht="13.5" customHeight="1">
      <c r="A253" s="91">
        <v>10504966</v>
      </c>
      <c r="B253" s="99" t="s">
        <v>1398</v>
      </c>
      <c r="C253" s="100" t="s">
        <v>258</v>
      </c>
      <c r="D253" s="56">
        <v>1000</v>
      </c>
      <c r="E253" s="56" t="s">
        <v>596</v>
      </c>
      <c r="F253" s="56">
        <v>4966</v>
      </c>
      <c r="G253" s="56" t="s">
        <v>282</v>
      </c>
      <c r="H253" s="56">
        <v>5065</v>
      </c>
      <c r="I253" s="56" t="s">
        <v>624</v>
      </c>
      <c r="J253" s="108">
        <v>2</v>
      </c>
      <c r="K253" s="107">
        <v>105</v>
      </c>
      <c r="L253" s="79" t="s">
        <v>659</v>
      </c>
    </row>
    <row r="254" spans="1:12" ht="13.5" customHeight="1">
      <c r="A254" s="91">
        <v>10505066</v>
      </c>
      <c r="B254" s="99" t="s">
        <v>1399</v>
      </c>
      <c r="C254" s="100" t="s">
        <v>258</v>
      </c>
      <c r="D254" s="56">
        <v>1000</v>
      </c>
      <c r="E254" s="56" t="s">
        <v>596</v>
      </c>
      <c r="F254" s="56">
        <v>5066</v>
      </c>
      <c r="G254" s="56" t="s">
        <v>282</v>
      </c>
      <c r="H254" s="56">
        <v>5165</v>
      </c>
      <c r="I254" s="56" t="s">
        <v>625</v>
      </c>
      <c r="J254" s="108">
        <v>2</v>
      </c>
      <c r="K254" s="107">
        <v>105</v>
      </c>
      <c r="L254" s="79" t="s">
        <v>659</v>
      </c>
    </row>
    <row r="255" spans="1:12" ht="13.5" customHeight="1">
      <c r="A255" s="91">
        <v>10505166</v>
      </c>
      <c r="B255" s="99" t="s">
        <v>1400</v>
      </c>
      <c r="C255" s="100" t="s">
        <v>258</v>
      </c>
      <c r="D255" s="56">
        <v>1000</v>
      </c>
      <c r="E255" s="56" t="s">
        <v>596</v>
      </c>
      <c r="F255" s="56">
        <v>5166</v>
      </c>
      <c r="G255" s="56" t="s">
        <v>282</v>
      </c>
      <c r="H255" s="56">
        <v>5265</v>
      </c>
      <c r="I255" s="56" t="s">
        <v>626</v>
      </c>
      <c r="J255" s="108">
        <v>2</v>
      </c>
      <c r="K255" s="107">
        <v>105</v>
      </c>
      <c r="L255" s="79" t="s">
        <v>659</v>
      </c>
    </row>
    <row r="256" spans="1:12" ht="13.5" customHeight="1">
      <c r="A256" s="91">
        <v>10505266</v>
      </c>
      <c r="B256" s="99" t="s">
        <v>1401</v>
      </c>
      <c r="C256" s="100" t="s">
        <v>258</v>
      </c>
      <c r="D256" s="56">
        <v>1000</v>
      </c>
      <c r="E256" s="56" t="s">
        <v>596</v>
      </c>
      <c r="F256" s="56">
        <v>5266</v>
      </c>
      <c r="G256" s="56" t="s">
        <v>282</v>
      </c>
      <c r="H256" s="56">
        <v>5365</v>
      </c>
      <c r="I256" s="56" t="s">
        <v>627</v>
      </c>
      <c r="J256" s="108">
        <v>3</v>
      </c>
      <c r="K256" s="107">
        <v>105</v>
      </c>
      <c r="L256" s="79" t="s">
        <v>659</v>
      </c>
    </row>
    <row r="257" spans="1:12" ht="13.5" customHeight="1">
      <c r="A257" s="91">
        <v>10505366</v>
      </c>
      <c r="B257" s="99" t="s">
        <v>1402</v>
      </c>
      <c r="C257" s="100" t="s">
        <v>258</v>
      </c>
      <c r="D257" s="56">
        <v>1000</v>
      </c>
      <c r="E257" s="56" t="s">
        <v>596</v>
      </c>
      <c r="F257" s="56">
        <v>5366</v>
      </c>
      <c r="G257" s="56" t="s">
        <v>282</v>
      </c>
      <c r="H257" s="56">
        <v>5465</v>
      </c>
      <c r="I257" s="56" t="s">
        <v>628</v>
      </c>
      <c r="J257" s="108">
        <v>3</v>
      </c>
      <c r="K257" s="107">
        <v>105</v>
      </c>
      <c r="L257" s="79" t="s">
        <v>659</v>
      </c>
    </row>
    <row r="258" spans="1:12" ht="13.5" customHeight="1">
      <c r="A258" s="91">
        <v>10505466</v>
      </c>
      <c r="B258" s="99" t="s">
        <v>1403</v>
      </c>
      <c r="C258" s="100" t="s">
        <v>258</v>
      </c>
      <c r="D258" s="56">
        <v>1000</v>
      </c>
      <c r="E258" s="56" t="s">
        <v>596</v>
      </c>
      <c r="F258" s="56">
        <v>5466</v>
      </c>
      <c r="G258" s="56" t="s">
        <v>282</v>
      </c>
      <c r="H258" s="56">
        <v>5565</v>
      </c>
      <c r="I258" s="56" t="s">
        <v>629</v>
      </c>
      <c r="J258" s="108">
        <v>3</v>
      </c>
      <c r="K258" s="107">
        <v>105</v>
      </c>
      <c r="L258" s="79" t="s">
        <v>659</v>
      </c>
    </row>
    <row r="259" spans="1:12" ht="13.5" customHeight="1">
      <c r="A259" s="91">
        <v>10505566</v>
      </c>
      <c r="B259" s="99" t="s">
        <v>1404</v>
      </c>
      <c r="C259" s="100" t="s">
        <v>258</v>
      </c>
      <c r="D259" s="56">
        <v>1000</v>
      </c>
      <c r="E259" s="56" t="s">
        <v>596</v>
      </c>
      <c r="F259" s="56">
        <v>5566</v>
      </c>
      <c r="G259" s="56" t="s">
        <v>282</v>
      </c>
      <c r="H259" s="56">
        <v>5665</v>
      </c>
      <c r="I259" s="56" t="s">
        <v>630</v>
      </c>
      <c r="J259" s="108">
        <v>3</v>
      </c>
      <c r="K259" s="107">
        <v>105</v>
      </c>
      <c r="L259" s="79" t="s">
        <v>659</v>
      </c>
    </row>
    <row r="260" spans="1:12" ht="13.5" customHeight="1">
      <c r="A260" s="91">
        <v>10505666</v>
      </c>
      <c r="B260" s="99" t="s">
        <v>1405</v>
      </c>
      <c r="C260" s="100" t="s">
        <v>258</v>
      </c>
      <c r="D260" s="56">
        <v>1000</v>
      </c>
      <c r="E260" s="56" t="s">
        <v>596</v>
      </c>
      <c r="F260" s="56">
        <v>5666</v>
      </c>
      <c r="G260" s="56" t="s">
        <v>282</v>
      </c>
      <c r="H260" s="56">
        <v>5765</v>
      </c>
      <c r="I260" s="56" t="s">
        <v>631</v>
      </c>
      <c r="J260" s="108">
        <v>3</v>
      </c>
      <c r="K260" s="107">
        <v>105</v>
      </c>
      <c r="L260" s="79" t="s">
        <v>659</v>
      </c>
    </row>
    <row r="261" spans="1:12" ht="13.5" customHeight="1">
      <c r="A261" s="91">
        <v>10505766</v>
      </c>
      <c r="B261" s="99" t="s">
        <v>1406</v>
      </c>
      <c r="C261" s="100" t="s">
        <v>258</v>
      </c>
      <c r="D261" s="56">
        <v>1000</v>
      </c>
      <c r="E261" s="56" t="s">
        <v>596</v>
      </c>
      <c r="F261" s="56">
        <v>5766</v>
      </c>
      <c r="G261" s="56" t="s">
        <v>282</v>
      </c>
      <c r="H261" s="56">
        <v>5865</v>
      </c>
      <c r="I261" s="56" t="s">
        <v>632</v>
      </c>
      <c r="J261" s="108">
        <v>3</v>
      </c>
      <c r="K261" s="107">
        <v>105</v>
      </c>
      <c r="L261" s="79" t="s">
        <v>659</v>
      </c>
    </row>
    <row r="262" spans="1:12" ht="13.5" customHeight="1">
      <c r="A262" s="91">
        <v>10505866</v>
      </c>
      <c r="B262" s="99" t="s">
        <v>1407</v>
      </c>
      <c r="C262" s="100" t="s">
        <v>258</v>
      </c>
      <c r="D262" s="56">
        <v>1000</v>
      </c>
      <c r="E262" s="56" t="s">
        <v>596</v>
      </c>
      <c r="F262" s="56">
        <v>5866</v>
      </c>
      <c r="G262" s="56" t="s">
        <v>282</v>
      </c>
      <c r="H262" s="56">
        <v>5965</v>
      </c>
      <c r="I262" s="56" t="s">
        <v>633</v>
      </c>
      <c r="J262" s="108">
        <v>3</v>
      </c>
      <c r="K262" s="107">
        <v>105</v>
      </c>
      <c r="L262" s="79" t="s">
        <v>659</v>
      </c>
    </row>
    <row r="263" spans="1:12" ht="13.5" customHeight="1">
      <c r="A263" s="91">
        <v>10505966</v>
      </c>
      <c r="B263" s="99" t="s">
        <v>1408</v>
      </c>
      <c r="C263" s="100" t="s">
        <v>258</v>
      </c>
      <c r="D263" s="56">
        <v>1000</v>
      </c>
      <c r="E263" s="56" t="s">
        <v>596</v>
      </c>
      <c r="F263" s="56">
        <v>5966</v>
      </c>
      <c r="G263" s="56" t="s">
        <v>282</v>
      </c>
      <c r="H263" s="56">
        <v>6065</v>
      </c>
      <c r="I263" s="56" t="s">
        <v>634</v>
      </c>
      <c r="J263" s="108">
        <v>3</v>
      </c>
      <c r="K263" s="107">
        <v>105</v>
      </c>
      <c r="L263" s="79" t="s">
        <v>659</v>
      </c>
    </row>
    <row r="264" spans="1:12" ht="13.5" customHeight="1">
      <c r="A264" s="91">
        <v>10506066</v>
      </c>
      <c r="B264" s="99" t="s">
        <v>1409</v>
      </c>
      <c r="C264" s="100" t="s">
        <v>258</v>
      </c>
      <c r="D264" s="56">
        <v>1000</v>
      </c>
      <c r="E264" s="56" t="s">
        <v>596</v>
      </c>
      <c r="F264" s="56">
        <v>6066</v>
      </c>
      <c r="G264" s="56" t="s">
        <v>282</v>
      </c>
      <c r="H264" s="56">
        <v>6165</v>
      </c>
      <c r="I264" s="56" t="s">
        <v>635</v>
      </c>
      <c r="J264" s="108">
        <v>4</v>
      </c>
      <c r="K264" s="107">
        <v>105</v>
      </c>
      <c r="L264" s="79" t="s">
        <v>659</v>
      </c>
    </row>
    <row r="265" spans="1:12" ht="13.5" customHeight="1">
      <c r="A265" s="91">
        <v>10506166</v>
      </c>
      <c r="B265" s="99" t="s">
        <v>1410</v>
      </c>
      <c r="C265" s="100" t="s">
        <v>258</v>
      </c>
      <c r="D265" s="56">
        <v>1000</v>
      </c>
      <c r="E265" s="56" t="s">
        <v>596</v>
      </c>
      <c r="F265" s="56">
        <v>6166</v>
      </c>
      <c r="G265" s="56" t="s">
        <v>282</v>
      </c>
      <c r="H265" s="56">
        <v>6265</v>
      </c>
      <c r="I265" s="56" t="s">
        <v>636</v>
      </c>
      <c r="J265" s="108">
        <v>4</v>
      </c>
      <c r="K265" s="107">
        <v>105</v>
      </c>
      <c r="L265" s="79" t="s">
        <v>659</v>
      </c>
    </row>
    <row r="266" spans="1:12" ht="13.5" customHeight="1">
      <c r="A266" s="91">
        <v>10506266</v>
      </c>
      <c r="B266" s="99" t="s">
        <v>1411</v>
      </c>
      <c r="C266" s="100" t="s">
        <v>258</v>
      </c>
      <c r="D266" s="56">
        <v>1000</v>
      </c>
      <c r="E266" s="56" t="s">
        <v>596</v>
      </c>
      <c r="F266" s="56">
        <v>6266</v>
      </c>
      <c r="G266" s="56" t="s">
        <v>282</v>
      </c>
      <c r="H266" s="56">
        <v>6365</v>
      </c>
      <c r="I266" s="56" t="s">
        <v>637</v>
      </c>
      <c r="J266" s="108">
        <v>4</v>
      </c>
      <c r="K266" s="107">
        <v>105</v>
      </c>
      <c r="L266" s="79" t="s">
        <v>659</v>
      </c>
    </row>
    <row r="267" spans="1:12" ht="13.5" customHeight="1">
      <c r="A267" s="91">
        <v>10506366</v>
      </c>
      <c r="B267" s="99" t="s">
        <v>1412</v>
      </c>
      <c r="C267" s="100" t="s">
        <v>258</v>
      </c>
      <c r="D267" s="56">
        <v>1000</v>
      </c>
      <c r="E267" s="56" t="s">
        <v>596</v>
      </c>
      <c r="F267" s="56">
        <v>6366</v>
      </c>
      <c r="G267" s="56" t="s">
        <v>282</v>
      </c>
      <c r="H267" s="56">
        <v>6465</v>
      </c>
      <c r="I267" s="56" t="s">
        <v>638</v>
      </c>
      <c r="J267" s="108">
        <v>4</v>
      </c>
      <c r="K267" s="107">
        <v>105</v>
      </c>
      <c r="L267" s="79" t="s">
        <v>659</v>
      </c>
    </row>
    <row r="268" spans="1:12" ht="13.5" customHeight="1">
      <c r="A268" s="91">
        <v>10506466</v>
      </c>
      <c r="B268" s="99" t="s">
        <v>1413</v>
      </c>
      <c r="C268" s="100" t="s">
        <v>258</v>
      </c>
      <c r="D268" s="56">
        <v>1000</v>
      </c>
      <c r="E268" s="56" t="s">
        <v>596</v>
      </c>
      <c r="F268" s="56">
        <v>6466</v>
      </c>
      <c r="G268" s="56" t="s">
        <v>282</v>
      </c>
      <c r="H268" s="56">
        <v>6565</v>
      </c>
      <c r="I268" s="56" t="s">
        <v>639</v>
      </c>
      <c r="J268" s="108">
        <v>4</v>
      </c>
      <c r="K268" s="107">
        <v>105</v>
      </c>
      <c r="L268" s="79" t="s">
        <v>659</v>
      </c>
    </row>
    <row r="269" spans="1:12" ht="13.5" customHeight="1">
      <c r="A269" s="91">
        <v>10506566</v>
      </c>
      <c r="B269" s="99" t="s">
        <v>1414</v>
      </c>
      <c r="C269" s="100" t="s">
        <v>258</v>
      </c>
      <c r="D269" s="56">
        <v>1000</v>
      </c>
      <c r="E269" s="56" t="s">
        <v>596</v>
      </c>
      <c r="F269" s="56">
        <v>6566</v>
      </c>
      <c r="G269" s="56" t="s">
        <v>282</v>
      </c>
      <c r="H269" s="56">
        <v>6665</v>
      </c>
      <c r="I269" s="56" t="s">
        <v>640</v>
      </c>
      <c r="J269" s="108">
        <v>4</v>
      </c>
      <c r="K269" s="107">
        <v>105</v>
      </c>
      <c r="L269" s="79" t="s">
        <v>659</v>
      </c>
    </row>
    <row r="270" spans="1:12" ht="13.5" customHeight="1">
      <c r="A270" s="91">
        <v>10506666</v>
      </c>
      <c r="B270" s="99" t="s">
        <v>1415</v>
      </c>
      <c r="C270" s="100" t="s">
        <v>258</v>
      </c>
      <c r="D270" s="56">
        <v>1000</v>
      </c>
      <c r="E270" s="56" t="s">
        <v>596</v>
      </c>
      <c r="F270" s="56">
        <v>6666</v>
      </c>
      <c r="G270" s="56" t="s">
        <v>282</v>
      </c>
      <c r="H270" s="56">
        <v>6765</v>
      </c>
      <c r="I270" s="56" t="s">
        <v>641</v>
      </c>
      <c r="J270" s="108">
        <v>4</v>
      </c>
      <c r="K270" s="107">
        <v>105</v>
      </c>
      <c r="L270" s="79" t="s">
        <v>659</v>
      </c>
    </row>
    <row r="271" spans="1:12" ht="13.5" customHeight="1">
      <c r="A271" s="91">
        <v>10506766</v>
      </c>
      <c r="B271" s="99" t="s">
        <v>1416</v>
      </c>
      <c r="C271" s="100" t="s">
        <v>258</v>
      </c>
      <c r="D271" s="56">
        <v>1000</v>
      </c>
      <c r="E271" s="56" t="s">
        <v>596</v>
      </c>
      <c r="F271" s="56">
        <v>6766</v>
      </c>
      <c r="G271" s="56" t="s">
        <v>282</v>
      </c>
      <c r="H271" s="56">
        <v>6865</v>
      </c>
      <c r="I271" s="56" t="s">
        <v>642</v>
      </c>
      <c r="J271" s="108">
        <v>4</v>
      </c>
      <c r="K271" s="107">
        <v>105</v>
      </c>
      <c r="L271" s="79" t="s">
        <v>659</v>
      </c>
    </row>
    <row r="272" spans="1:12" ht="13.5" customHeight="1">
      <c r="A272" s="91">
        <v>10506866</v>
      </c>
      <c r="B272" s="99" t="s">
        <v>1417</v>
      </c>
      <c r="C272" s="100" t="s">
        <v>258</v>
      </c>
      <c r="D272" s="56">
        <v>1000</v>
      </c>
      <c r="E272" s="56" t="s">
        <v>596</v>
      </c>
      <c r="F272" s="56">
        <v>6866</v>
      </c>
      <c r="G272" s="56" t="s">
        <v>282</v>
      </c>
      <c r="H272" s="56">
        <v>6965</v>
      </c>
      <c r="I272" s="56" t="s">
        <v>643</v>
      </c>
      <c r="J272" s="108">
        <v>5</v>
      </c>
      <c r="K272" s="107">
        <v>105</v>
      </c>
      <c r="L272" s="79" t="s">
        <v>659</v>
      </c>
    </row>
    <row r="273" spans="1:12" ht="13.5" customHeight="1">
      <c r="A273" s="91">
        <v>10506966</v>
      </c>
      <c r="B273" s="99" t="s">
        <v>1418</v>
      </c>
      <c r="C273" s="100" t="s">
        <v>258</v>
      </c>
      <c r="D273" s="56">
        <v>1000</v>
      </c>
      <c r="E273" s="56" t="s">
        <v>596</v>
      </c>
      <c r="F273" s="56">
        <v>6966</v>
      </c>
      <c r="G273" s="56" t="s">
        <v>282</v>
      </c>
      <c r="H273" s="56">
        <v>7065</v>
      </c>
      <c r="I273" s="56" t="s">
        <v>644</v>
      </c>
      <c r="J273" s="108">
        <v>5</v>
      </c>
      <c r="K273" s="107">
        <v>105</v>
      </c>
      <c r="L273" s="79" t="s">
        <v>659</v>
      </c>
    </row>
    <row r="274" spans="1:12" ht="13.5" customHeight="1">
      <c r="A274" s="91">
        <v>10507066</v>
      </c>
      <c r="B274" s="99" t="s">
        <v>1419</v>
      </c>
      <c r="C274" s="100" t="s">
        <v>258</v>
      </c>
      <c r="D274" s="56">
        <v>1000</v>
      </c>
      <c r="E274" s="56" t="s">
        <v>596</v>
      </c>
      <c r="F274" s="56">
        <v>7066</v>
      </c>
      <c r="G274" s="56" t="s">
        <v>282</v>
      </c>
      <c r="H274" s="56">
        <v>7165</v>
      </c>
      <c r="I274" s="56" t="s">
        <v>645</v>
      </c>
      <c r="J274" s="108">
        <v>5</v>
      </c>
      <c r="K274" s="107">
        <v>105</v>
      </c>
      <c r="L274" s="79" t="s">
        <v>659</v>
      </c>
    </row>
    <row r="275" spans="1:12" ht="13.5" customHeight="1">
      <c r="A275" s="91">
        <v>10507166</v>
      </c>
      <c r="B275" s="99" t="s">
        <v>1420</v>
      </c>
      <c r="C275" s="100" t="s">
        <v>258</v>
      </c>
      <c r="D275" s="56">
        <v>1000</v>
      </c>
      <c r="E275" s="56" t="s">
        <v>596</v>
      </c>
      <c r="F275" s="56">
        <v>7166</v>
      </c>
      <c r="G275" s="56" t="s">
        <v>282</v>
      </c>
      <c r="H275" s="56">
        <v>7265</v>
      </c>
      <c r="I275" s="56" t="s">
        <v>646</v>
      </c>
      <c r="J275" s="108">
        <v>5</v>
      </c>
      <c r="K275" s="107">
        <v>105</v>
      </c>
      <c r="L275" s="79" t="s">
        <v>659</v>
      </c>
    </row>
    <row r="276" spans="1:12" ht="13.5" customHeight="1">
      <c r="A276" s="91">
        <v>10507266</v>
      </c>
      <c r="B276" s="99" t="s">
        <v>1421</v>
      </c>
      <c r="C276" s="100" t="s">
        <v>258</v>
      </c>
      <c r="D276" s="56">
        <v>1000</v>
      </c>
      <c r="E276" s="56" t="s">
        <v>596</v>
      </c>
      <c r="F276" s="56">
        <v>7266</v>
      </c>
      <c r="G276" s="56" t="s">
        <v>282</v>
      </c>
      <c r="H276" s="56">
        <v>7365</v>
      </c>
      <c r="I276" s="56" t="s">
        <v>647</v>
      </c>
      <c r="J276" s="108">
        <v>5</v>
      </c>
      <c r="K276" s="107">
        <v>105</v>
      </c>
      <c r="L276" s="79" t="s">
        <v>659</v>
      </c>
    </row>
    <row r="277" spans="1:12" ht="13.5" customHeight="1">
      <c r="A277" s="91">
        <v>10507366</v>
      </c>
      <c r="B277" s="99" t="s">
        <v>1422</v>
      </c>
      <c r="C277" s="100" t="s">
        <v>258</v>
      </c>
      <c r="D277" s="56">
        <v>1000</v>
      </c>
      <c r="E277" s="56" t="s">
        <v>596</v>
      </c>
      <c r="F277" s="56">
        <v>7366</v>
      </c>
      <c r="G277" s="56" t="s">
        <v>282</v>
      </c>
      <c r="H277" s="56">
        <v>7465</v>
      </c>
      <c r="I277" s="56" t="s">
        <v>648</v>
      </c>
      <c r="J277" s="108">
        <v>5</v>
      </c>
      <c r="K277" s="107">
        <v>105</v>
      </c>
      <c r="L277" s="79" t="s">
        <v>659</v>
      </c>
    </row>
    <row r="278" spans="1:12" ht="13.5" customHeight="1">
      <c r="A278" s="91">
        <v>10507466</v>
      </c>
      <c r="B278" s="99" t="s">
        <v>1423</v>
      </c>
      <c r="C278" s="100" t="s">
        <v>258</v>
      </c>
      <c r="D278" s="56">
        <v>1000</v>
      </c>
      <c r="E278" s="56" t="s">
        <v>596</v>
      </c>
      <c r="F278" s="56">
        <v>7466</v>
      </c>
      <c r="G278" s="56" t="s">
        <v>282</v>
      </c>
      <c r="H278" s="56">
        <v>7565</v>
      </c>
      <c r="I278" s="56" t="s">
        <v>649</v>
      </c>
      <c r="J278" s="108">
        <v>5</v>
      </c>
      <c r="K278" s="107">
        <v>105</v>
      </c>
      <c r="L278" s="79" t="s">
        <v>659</v>
      </c>
    </row>
    <row r="279" spans="1:12" ht="13.5" customHeight="1">
      <c r="A279" s="91">
        <v>10507566</v>
      </c>
      <c r="B279" s="99" t="s">
        <v>1424</v>
      </c>
      <c r="C279" s="100" t="s">
        <v>258</v>
      </c>
      <c r="D279" s="56">
        <v>1000</v>
      </c>
      <c r="E279" s="56" t="s">
        <v>596</v>
      </c>
      <c r="F279" s="56">
        <v>7566</v>
      </c>
      <c r="G279" s="56" t="s">
        <v>282</v>
      </c>
      <c r="H279" s="56">
        <v>7665</v>
      </c>
      <c r="I279" s="56" t="s">
        <v>650</v>
      </c>
      <c r="J279" s="108">
        <v>5</v>
      </c>
      <c r="K279" s="107">
        <v>105</v>
      </c>
      <c r="L279" s="79" t="s">
        <v>659</v>
      </c>
    </row>
    <row r="280" spans="1:12" ht="13.5" customHeight="1">
      <c r="A280" s="91">
        <v>10507666</v>
      </c>
      <c r="B280" s="99" t="s">
        <v>1425</v>
      </c>
      <c r="C280" s="100" t="s">
        <v>258</v>
      </c>
      <c r="D280" s="56">
        <v>1000</v>
      </c>
      <c r="E280" s="56" t="s">
        <v>596</v>
      </c>
      <c r="F280" s="56">
        <v>7666</v>
      </c>
      <c r="G280" s="56" t="s">
        <v>282</v>
      </c>
      <c r="H280" s="56">
        <v>7765</v>
      </c>
      <c r="I280" s="56" t="s">
        <v>651</v>
      </c>
      <c r="J280" s="108">
        <v>6</v>
      </c>
      <c r="K280" s="107">
        <v>105</v>
      </c>
      <c r="L280" s="79" t="s">
        <v>659</v>
      </c>
    </row>
    <row r="281" spans="1:12" ht="13.5" customHeight="1">
      <c r="A281" s="91">
        <v>10507766</v>
      </c>
      <c r="B281" s="99" t="s">
        <v>1426</v>
      </c>
      <c r="C281" s="100" t="s">
        <v>258</v>
      </c>
      <c r="D281" s="56">
        <v>1000</v>
      </c>
      <c r="E281" s="56" t="s">
        <v>596</v>
      </c>
      <c r="F281" s="56">
        <v>7766</v>
      </c>
      <c r="G281" s="56" t="s">
        <v>282</v>
      </c>
      <c r="H281" s="56">
        <v>7865</v>
      </c>
      <c r="I281" s="56" t="s">
        <v>652</v>
      </c>
      <c r="J281" s="108">
        <v>6</v>
      </c>
      <c r="K281" s="107">
        <v>105</v>
      </c>
      <c r="L281" s="79" t="s">
        <v>659</v>
      </c>
    </row>
    <row r="282" spans="1:12" ht="13.5" customHeight="1">
      <c r="A282" s="91">
        <v>10507866</v>
      </c>
      <c r="B282" s="99" t="s">
        <v>1427</v>
      </c>
      <c r="C282" s="100" t="s">
        <v>258</v>
      </c>
      <c r="D282" s="56">
        <v>1000</v>
      </c>
      <c r="E282" s="56" t="s">
        <v>596</v>
      </c>
      <c r="F282" s="56">
        <v>7866</v>
      </c>
      <c r="G282" s="56" t="s">
        <v>282</v>
      </c>
      <c r="H282" s="56">
        <v>7965</v>
      </c>
      <c r="I282" s="56" t="s">
        <v>653</v>
      </c>
      <c r="J282" s="108">
        <v>6</v>
      </c>
      <c r="K282" s="107">
        <v>105</v>
      </c>
      <c r="L282" s="79" t="s">
        <v>659</v>
      </c>
    </row>
    <row r="283" spans="1:12" ht="13.5" customHeight="1">
      <c r="A283" s="91">
        <v>10507966</v>
      </c>
      <c r="B283" s="102" t="s">
        <v>1428</v>
      </c>
      <c r="C283" s="103" t="s">
        <v>258</v>
      </c>
      <c r="D283" s="105">
        <v>1000</v>
      </c>
      <c r="E283" s="105" t="s">
        <v>596</v>
      </c>
      <c r="F283" s="105">
        <v>7966</v>
      </c>
      <c r="G283" s="105" t="s">
        <v>282</v>
      </c>
      <c r="H283" s="105">
        <v>8065</v>
      </c>
      <c r="I283" s="105" t="s">
        <v>654</v>
      </c>
      <c r="J283" s="109">
        <v>6</v>
      </c>
      <c r="K283" s="107">
        <v>105</v>
      </c>
      <c r="L283" s="79" t="s">
        <v>659</v>
      </c>
    </row>
    <row r="284" spans="1:12" ht="13.5" customHeight="1">
      <c r="A284" s="91">
        <v>10600000</v>
      </c>
      <c r="B284" s="92" t="s">
        <v>1429</v>
      </c>
      <c r="C284" s="93" t="s">
        <v>258</v>
      </c>
      <c r="D284" s="94">
        <v>1000</v>
      </c>
      <c r="E284" s="94" t="s">
        <v>264</v>
      </c>
      <c r="F284" s="94">
        <v>0</v>
      </c>
      <c r="G284" s="94" t="s">
        <v>282</v>
      </c>
      <c r="H284" s="94">
        <v>2630</v>
      </c>
      <c r="I284" s="94" t="s">
        <v>597</v>
      </c>
      <c r="J284" s="110">
        <v>0</v>
      </c>
      <c r="K284" s="107">
        <v>106</v>
      </c>
      <c r="L284" s="79" t="s">
        <v>659</v>
      </c>
    </row>
    <row r="285" spans="1:12" ht="13.5" customHeight="1">
      <c r="A285" s="91">
        <v>10602631</v>
      </c>
      <c r="B285" s="99" t="s">
        <v>1430</v>
      </c>
      <c r="C285" s="100" t="s">
        <v>258</v>
      </c>
      <c r="D285" s="56">
        <v>1000</v>
      </c>
      <c r="E285" s="56" t="s">
        <v>264</v>
      </c>
      <c r="F285" s="56">
        <v>2631</v>
      </c>
      <c r="G285" s="56" t="s">
        <v>282</v>
      </c>
      <c r="H285" s="56">
        <v>2700</v>
      </c>
      <c r="I285" s="56" t="s">
        <v>599</v>
      </c>
      <c r="J285" s="108">
        <v>0</v>
      </c>
      <c r="K285" s="107">
        <v>106</v>
      </c>
      <c r="L285" s="79" t="s">
        <v>659</v>
      </c>
    </row>
    <row r="286" spans="1:12" ht="13.5" customHeight="1">
      <c r="A286" s="91">
        <v>10602701</v>
      </c>
      <c r="B286" s="99" t="s">
        <v>1431</v>
      </c>
      <c r="C286" s="100" t="s">
        <v>258</v>
      </c>
      <c r="D286" s="56">
        <v>1000</v>
      </c>
      <c r="E286" s="56" t="s">
        <v>264</v>
      </c>
      <c r="F286" s="56">
        <v>2701</v>
      </c>
      <c r="G286" s="56" t="s">
        <v>282</v>
      </c>
      <c r="H286" s="56">
        <v>2750</v>
      </c>
      <c r="I286" s="56" t="s">
        <v>600</v>
      </c>
      <c r="J286" s="108">
        <v>0</v>
      </c>
      <c r="K286" s="107">
        <v>106</v>
      </c>
      <c r="L286" s="79" t="s">
        <v>659</v>
      </c>
    </row>
    <row r="287" spans="1:12" ht="13.5" customHeight="1">
      <c r="A287" s="91">
        <v>10602751</v>
      </c>
      <c r="B287" s="99" t="s">
        <v>1432</v>
      </c>
      <c r="C287" s="100" t="s">
        <v>258</v>
      </c>
      <c r="D287" s="56">
        <v>1000</v>
      </c>
      <c r="E287" s="56" t="s">
        <v>264</v>
      </c>
      <c r="F287" s="56">
        <v>2751</v>
      </c>
      <c r="G287" s="56" t="s">
        <v>282</v>
      </c>
      <c r="H287" s="56">
        <v>2850</v>
      </c>
      <c r="I287" s="56" t="s">
        <v>602</v>
      </c>
      <c r="J287" s="108">
        <v>0</v>
      </c>
      <c r="K287" s="107">
        <v>106</v>
      </c>
      <c r="L287" s="79" t="s">
        <v>659</v>
      </c>
    </row>
    <row r="288" spans="1:12" ht="14.25" customHeight="1">
      <c r="A288" s="91">
        <v>10602851</v>
      </c>
      <c r="B288" s="99" t="s">
        <v>1433</v>
      </c>
      <c r="C288" s="100" t="s">
        <v>258</v>
      </c>
      <c r="D288" s="56">
        <v>1000</v>
      </c>
      <c r="E288" s="56" t="s">
        <v>264</v>
      </c>
      <c r="F288" s="56">
        <v>2851</v>
      </c>
      <c r="G288" s="56" t="s">
        <v>282</v>
      </c>
      <c r="H288" s="56">
        <v>2950</v>
      </c>
      <c r="I288" s="56" t="s">
        <v>603</v>
      </c>
      <c r="J288" s="108">
        <v>0</v>
      </c>
      <c r="K288" s="107">
        <v>106</v>
      </c>
      <c r="L288" s="79" t="s">
        <v>659</v>
      </c>
    </row>
    <row r="289" spans="1:12" ht="13.5" customHeight="1">
      <c r="A289" s="91">
        <v>10602951</v>
      </c>
      <c r="B289" s="99" t="s">
        <v>1434</v>
      </c>
      <c r="C289" s="100" t="s">
        <v>258</v>
      </c>
      <c r="D289" s="56">
        <v>1000</v>
      </c>
      <c r="E289" s="56" t="s">
        <v>264</v>
      </c>
      <c r="F289" s="56">
        <v>2951</v>
      </c>
      <c r="G289" s="56" t="s">
        <v>282</v>
      </c>
      <c r="H289" s="56">
        <v>3050</v>
      </c>
      <c r="I289" s="56" t="s">
        <v>604</v>
      </c>
      <c r="J289" s="108">
        <v>0</v>
      </c>
      <c r="K289" s="107">
        <v>106</v>
      </c>
      <c r="L289" s="79" t="s">
        <v>659</v>
      </c>
    </row>
    <row r="290" spans="1:12" ht="13.5" customHeight="1">
      <c r="A290" s="91">
        <v>10603051</v>
      </c>
      <c r="B290" s="99" t="s">
        <v>1435</v>
      </c>
      <c r="C290" s="100" t="s">
        <v>258</v>
      </c>
      <c r="D290" s="56">
        <v>1000</v>
      </c>
      <c r="E290" s="56" t="s">
        <v>264</v>
      </c>
      <c r="F290" s="56">
        <v>3051</v>
      </c>
      <c r="G290" s="56" t="s">
        <v>282</v>
      </c>
      <c r="H290" s="56">
        <v>3150</v>
      </c>
      <c r="I290" s="56" t="s">
        <v>605</v>
      </c>
      <c r="J290" s="108">
        <v>0</v>
      </c>
      <c r="K290" s="107">
        <v>106</v>
      </c>
      <c r="L290" s="79" t="s">
        <v>659</v>
      </c>
    </row>
    <row r="291" spans="1:12" ht="13.5" customHeight="1">
      <c r="A291" s="91">
        <v>10603151</v>
      </c>
      <c r="B291" s="99" t="s">
        <v>1436</v>
      </c>
      <c r="C291" s="100" t="s">
        <v>258</v>
      </c>
      <c r="D291" s="56">
        <v>1000</v>
      </c>
      <c r="E291" s="56" t="s">
        <v>264</v>
      </c>
      <c r="F291" s="56">
        <v>3151</v>
      </c>
      <c r="G291" s="56" t="s">
        <v>282</v>
      </c>
      <c r="H291" s="56">
        <v>3250</v>
      </c>
      <c r="I291" s="56" t="s">
        <v>606</v>
      </c>
      <c r="J291" s="108">
        <v>0</v>
      </c>
      <c r="K291" s="107">
        <v>106</v>
      </c>
      <c r="L291" s="79" t="s">
        <v>659</v>
      </c>
    </row>
    <row r="292" spans="1:12" ht="13.5" customHeight="1">
      <c r="A292" s="91">
        <v>10603251</v>
      </c>
      <c r="B292" s="99" t="s">
        <v>1437</v>
      </c>
      <c r="C292" s="100" t="s">
        <v>258</v>
      </c>
      <c r="D292" s="56">
        <v>1000</v>
      </c>
      <c r="E292" s="56" t="s">
        <v>264</v>
      </c>
      <c r="F292" s="56">
        <v>3251</v>
      </c>
      <c r="G292" s="56" t="s">
        <v>282</v>
      </c>
      <c r="H292" s="56">
        <v>3350</v>
      </c>
      <c r="I292" s="56" t="s">
        <v>607</v>
      </c>
      <c r="J292" s="108">
        <v>0</v>
      </c>
      <c r="K292" s="107">
        <v>106</v>
      </c>
      <c r="L292" s="79" t="s">
        <v>659</v>
      </c>
    </row>
    <row r="293" spans="1:12" ht="13.5" customHeight="1">
      <c r="A293" s="91">
        <v>10603351</v>
      </c>
      <c r="B293" s="99" t="s">
        <v>1438</v>
      </c>
      <c r="C293" s="100" t="s">
        <v>258</v>
      </c>
      <c r="D293" s="56">
        <v>1000</v>
      </c>
      <c r="E293" s="56" t="s">
        <v>264</v>
      </c>
      <c r="F293" s="56">
        <v>3351</v>
      </c>
      <c r="G293" s="56" t="s">
        <v>282</v>
      </c>
      <c r="H293" s="56">
        <v>3450</v>
      </c>
      <c r="I293" s="56" t="s">
        <v>608</v>
      </c>
      <c r="J293" s="108">
        <v>0</v>
      </c>
      <c r="K293" s="107">
        <v>106</v>
      </c>
      <c r="L293" s="79" t="s">
        <v>659</v>
      </c>
    </row>
    <row r="294" spans="1:12" ht="13.5" customHeight="1">
      <c r="A294" s="91">
        <v>10603451</v>
      </c>
      <c r="B294" s="99" t="s">
        <v>1439</v>
      </c>
      <c r="C294" s="100" t="s">
        <v>258</v>
      </c>
      <c r="D294" s="56">
        <v>1000</v>
      </c>
      <c r="E294" s="56" t="s">
        <v>264</v>
      </c>
      <c r="F294" s="56">
        <v>3451</v>
      </c>
      <c r="G294" s="56" t="s">
        <v>282</v>
      </c>
      <c r="H294" s="56">
        <v>3550</v>
      </c>
      <c r="I294" s="56" t="s">
        <v>609</v>
      </c>
      <c r="J294" s="108">
        <v>0</v>
      </c>
      <c r="K294" s="107">
        <v>106</v>
      </c>
      <c r="L294" s="79" t="s">
        <v>659</v>
      </c>
    </row>
    <row r="295" spans="1:12" ht="13.5" customHeight="1">
      <c r="A295" s="91">
        <v>10603551</v>
      </c>
      <c r="B295" s="99" t="s">
        <v>1440</v>
      </c>
      <c r="C295" s="100" t="s">
        <v>258</v>
      </c>
      <c r="D295" s="56">
        <v>1000</v>
      </c>
      <c r="E295" s="56" t="s">
        <v>264</v>
      </c>
      <c r="F295" s="56">
        <v>3551</v>
      </c>
      <c r="G295" s="56" t="s">
        <v>282</v>
      </c>
      <c r="H295" s="56">
        <v>3650</v>
      </c>
      <c r="I295" s="56" t="s">
        <v>610</v>
      </c>
      <c r="J295" s="108">
        <v>0</v>
      </c>
      <c r="K295" s="107">
        <v>106</v>
      </c>
      <c r="L295" s="79" t="s">
        <v>659</v>
      </c>
    </row>
    <row r="296" spans="1:12" ht="13.5" customHeight="1">
      <c r="A296" s="91">
        <v>10603651</v>
      </c>
      <c r="B296" s="99" t="s">
        <v>1441</v>
      </c>
      <c r="C296" s="100" t="s">
        <v>258</v>
      </c>
      <c r="D296" s="56">
        <v>1000</v>
      </c>
      <c r="E296" s="56" t="s">
        <v>264</v>
      </c>
      <c r="F296" s="56">
        <v>3651</v>
      </c>
      <c r="G296" s="56" t="s">
        <v>282</v>
      </c>
      <c r="H296" s="56">
        <v>3750</v>
      </c>
      <c r="I296" s="56" t="s">
        <v>611</v>
      </c>
      <c r="J296" s="108">
        <v>1</v>
      </c>
      <c r="K296" s="107">
        <v>106</v>
      </c>
      <c r="L296" s="79" t="s">
        <v>659</v>
      </c>
    </row>
    <row r="297" spans="1:12" ht="13.5" customHeight="1">
      <c r="A297" s="91">
        <v>10603751</v>
      </c>
      <c r="B297" s="99" t="s">
        <v>1442</v>
      </c>
      <c r="C297" s="100" t="s">
        <v>258</v>
      </c>
      <c r="D297" s="56">
        <v>1000</v>
      </c>
      <c r="E297" s="56" t="s">
        <v>264</v>
      </c>
      <c r="F297" s="56">
        <v>3751</v>
      </c>
      <c r="G297" s="56" t="s">
        <v>282</v>
      </c>
      <c r="H297" s="56">
        <v>3850</v>
      </c>
      <c r="I297" s="56" t="s">
        <v>612</v>
      </c>
      <c r="J297" s="108">
        <v>1</v>
      </c>
      <c r="K297" s="107">
        <v>106</v>
      </c>
      <c r="L297" s="79" t="s">
        <v>659</v>
      </c>
    </row>
    <row r="298" spans="1:12" ht="13.5" customHeight="1">
      <c r="A298" s="91">
        <v>10603851</v>
      </c>
      <c r="B298" s="99" t="s">
        <v>1443</v>
      </c>
      <c r="C298" s="100" t="s">
        <v>258</v>
      </c>
      <c r="D298" s="56">
        <v>1000</v>
      </c>
      <c r="E298" s="56" t="s">
        <v>264</v>
      </c>
      <c r="F298" s="56">
        <v>3851</v>
      </c>
      <c r="G298" s="56" t="s">
        <v>282</v>
      </c>
      <c r="H298" s="56">
        <v>3950</v>
      </c>
      <c r="I298" s="56" t="s">
        <v>613</v>
      </c>
      <c r="J298" s="108">
        <v>1</v>
      </c>
      <c r="K298" s="107">
        <v>106</v>
      </c>
      <c r="L298" s="79" t="s">
        <v>659</v>
      </c>
    </row>
    <row r="299" spans="1:12" ht="13.5" customHeight="1">
      <c r="A299" s="91">
        <v>10603951</v>
      </c>
      <c r="B299" s="99" t="s">
        <v>1444</v>
      </c>
      <c r="C299" s="100" t="s">
        <v>258</v>
      </c>
      <c r="D299" s="56">
        <v>1000</v>
      </c>
      <c r="E299" s="56" t="s">
        <v>264</v>
      </c>
      <c r="F299" s="56">
        <v>3951</v>
      </c>
      <c r="G299" s="56" t="s">
        <v>282</v>
      </c>
      <c r="H299" s="56">
        <v>4050</v>
      </c>
      <c r="I299" s="56" t="s">
        <v>614</v>
      </c>
      <c r="J299" s="108">
        <v>1</v>
      </c>
      <c r="K299" s="107">
        <v>106</v>
      </c>
      <c r="L299" s="79" t="s">
        <v>659</v>
      </c>
    </row>
    <row r="300" spans="1:12" ht="13.5" customHeight="1">
      <c r="A300" s="91">
        <v>10604051</v>
      </c>
      <c r="B300" s="99" t="s">
        <v>1445</v>
      </c>
      <c r="C300" s="100" t="s">
        <v>258</v>
      </c>
      <c r="D300" s="56">
        <v>1000</v>
      </c>
      <c r="E300" s="56" t="s">
        <v>264</v>
      </c>
      <c r="F300" s="56">
        <v>4051</v>
      </c>
      <c r="G300" s="56" t="s">
        <v>282</v>
      </c>
      <c r="H300" s="56">
        <v>4150</v>
      </c>
      <c r="I300" s="56" t="s">
        <v>615</v>
      </c>
      <c r="J300" s="108">
        <v>1</v>
      </c>
      <c r="K300" s="107">
        <v>106</v>
      </c>
      <c r="L300" s="79" t="s">
        <v>659</v>
      </c>
    </row>
    <row r="301" spans="1:12" ht="13.5" customHeight="1">
      <c r="A301" s="91">
        <v>10604151</v>
      </c>
      <c r="B301" s="99" t="s">
        <v>1446</v>
      </c>
      <c r="C301" s="100" t="s">
        <v>258</v>
      </c>
      <c r="D301" s="56">
        <v>1000</v>
      </c>
      <c r="E301" s="56" t="s">
        <v>264</v>
      </c>
      <c r="F301" s="56">
        <v>4151</v>
      </c>
      <c r="G301" s="56" t="s">
        <v>282</v>
      </c>
      <c r="H301" s="56">
        <v>4250</v>
      </c>
      <c r="I301" s="56" t="s">
        <v>616</v>
      </c>
      <c r="J301" s="108">
        <v>1</v>
      </c>
      <c r="K301" s="107">
        <v>106</v>
      </c>
      <c r="L301" s="79" t="s">
        <v>659</v>
      </c>
    </row>
    <row r="302" spans="1:12" ht="13.5" customHeight="1">
      <c r="A302" s="91">
        <v>10604251</v>
      </c>
      <c r="B302" s="99" t="s">
        <v>1447</v>
      </c>
      <c r="C302" s="100" t="s">
        <v>258</v>
      </c>
      <c r="D302" s="56">
        <v>1000</v>
      </c>
      <c r="E302" s="56" t="s">
        <v>264</v>
      </c>
      <c r="F302" s="56">
        <v>4251</v>
      </c>
      <c r="G302" s="56" t="s">
        <v>282</v>
      </c>
      <c r="H302" s="56">
        <v>4350</v>
      </c>
      <c r="I302" s="56" t="s">
        <v>617</v>
      </c>
      <c r="J302" s="108">
        <v>1</v>
      </c>
      <c r="K302" s="107">
        <v>106</v>
      </c>
      <c r="L302" s="79" t="s">
        <v>659</v>
      </c>
    </row>
    <row r="303" spans="1:12" ht="13.5" customHeight="1">
      <c r="A303" s="91">
        <v>10604351</v>
      </c>
      <c r="B303" s="99" t="s">
        <v>1448</v>
      </c>
      <c r="C303" s="100" t="s">
        <v>258</v>
      </c>
      <c r="D303" s="56">
        <v>1000</v>
      </c>
      <c r="E303" s="56" t="s">
        <v>264</v>
      </c>
      <c r="F303" s="56">
        <v>4351</v>
      </c>
      <c r="G303" s="56" t="s">
        <v>282</v>
      </c>
      <c r="H303" s="56">
        <v>4450</v>
      </c>
      <c r="I303" s="56" t="s">
        <v>618</v>
      </c>
      <c r="J303" s="108">
        <v>1</v>
      </c>
      <c r="K303" s="107">
        <v>106</v>
      </c>
      <c r="L303" s="79" t="s">
        <v>659</v>
      </c>
    </row>
    <row r="304" spans="1:12" ht="13.5" customHeight="1">
      <c r="A304" s="91">
        <v>10604451</v>
      </c>
      <c r="B304" s="99" t="s">
        <v>1449</v>
      </c>
      <c r="C304" s="100" t="s">
        <v>258</v>
      </c>
      <c r="D304" s="56">
        <v>1000</v>
      </c>
      <c r="E304" s="56" t="s">
        <v>264</v>
      </c>
      <c r="F304" s="56">
        <v>4451</v>
      </c>
      <c r="G304" s="56" t="s">
        <v>282</v>
      </c>
      <c r="H304" s="56">
        <v>4550</v>
      </c>
      <c r="I304" s="56" t="s">
        <v>619</v>
      </c>
      <c r="J304" s="108">
        <v>2</v>
      </c>
      <c r="K304" s="107">
        <v>106</v>
      </c>
      <c r="L304" s="79" t="s">
        <v>659</v>
      </c>
    </row>
    <row r="305" spans="1:12" ht="13.5" customHeight="1">
      <c r="A305" s="91">
        <v>10604551</v>
      </c>
      <c r="B305" s="99" t="s">
        <v>1450</v>
      </c>
      <c r="C305" s="100" t="s">
        <v>258</v>
      </c>
      <c r="D305" s="56">
        <v>1000</v>
      </c>
      <c r="E305" s="56" t="s">
        <v>264</v>
      </c>
      <c r="F305" s="56">
        <v>4551</v>
      </c>
      <c r="G305" s="56" t="s">
        <v>282</v>
      </c>
      <c r="H305" s="56">
        <v>4650</v>
      </c>
      <c r="I305" s="56" t="s">
        <v>620</v>
      </c>
      <c r="J305" s="108">
        <v>2</v>
      </c>
      <c r="K305" s="107">
        <v>106</v>
      </c>
      <c r="L305" s="79" t="s">
        <v>659</v>
      </c>
    </row>
    <row r="306" spans="1:12" ht="13.5" customHeight="1">
      <c r="A306" s="91">
        <v>10604651</v>
      </c>
      <c r="B306" s="99" t="s">
        <v>1451</v>
      </c>
      <c r="C306" s="100" t="s">
        <v>258</v>
      </c>
      <c r="D306" s="56">
        <v>1000</v>
      </c>
      <c r="E306" s="56" t="s">
        <v>264</v>
      </c>
      <c r="F306" s="56">
        <v>4651</v>
      </c>
      <c r="G306" s="56" t="s">
        <v>282</v>
      </c>
      <c r="H306" s="56">
        <v>4750</v>
      </c>
      <c r="I306" s="56" t="s">
        <v>621</v>
      </c>
      <c r="J306" s="108">
        <v>2</v>
      </c>
      <c r="K306" s="107">
        <v>106</v>
      </c>
      <c r="L306" s="79" t="s">
        <v>659</v>
      </c>
    </row>
    <row r="307" spans="1:12" ht="13.5" customHeight="1">
      <c r="A307" s="91">
        <v>10604751</v>
      </c>
      <c r="B307" s="99" t="s">
        <v>1452</v>
      </c>
      <c r="C307" s="100" t="s">
        <v>258</v>
      </c>
      <c r="D307" s="56">
        <v>1000</v>
      </c>
      <c r="E307" s="56" t="s">
        <v>264</v>
      </c>
      <c r="F307" s="56">
        <v>4751</v>
      </c>
      <c r="G307" s="56" t="s">
        <v>282</v>
      </c>
      <c r="H307" s="56">
        <v>4850</v>
      </c>
      <c r="I307" s="56" t="s">
        <v>622</v>
      </c>
      <c r="J307" s="108">
        <v>2</v>
      </c>
      <c r="K307" s="107">
        <v>106</v>
      </c>
      <c r="L307" s="79" t="s">
        <v>659</v>
      </c>
    </row>
    <row r="308" spans="1:12" ht="13.5" customHeight="1">
      <c r="A308" s="91">
        <v>10604851</v>
      </c>
      <c r="B308" s="99" t="s">
        <v>1453</v>
      </c>
      <c r="C308" s="100" t="s">
        <v>258</v>
      </c>
      <c r="D308" s="56">
        <v>1000</v>
      </c>
      <c r="E308" s="56" t="s">
        <v>264</v>
      </c>
      <c r="F308" s="56">
        <v>4851</v>
      </c>
      <c r="G308" s="56" t="s">
        <v>282</v>
      </c>
      <c r="H308" s="56">
        <v>4950</v>
      </c>
      <c r="I308" s="56" t="s">
        <v>623</v>
      </c>
      <c r="J308" s="108">
        <v>2</v>
      </c>
      <c r="K308" s="107">
        <v>106</v>
      </c>
      <c r="L308" s="79" t="s">
        <v>659</v>
      </c>
    </row>
    <row r="309" spans="1:12" ht="13.5" customHeight="1">
      <c r="A309" s="91">
        <v>10604951</v>
      </c>
      <c r="B309" s="99" t="s">
        <v>1454</v>
      </c>
      <c r="C309" s="100" t="s">
        <v>258</v>
      </c>
      <c r="D309" s="56">
        <v>1000</v>
      </c>
      <c r="E309" s="56" t="s">
        <v>264</v>
      </c>
      <c r="F309" s="56">
        <v>4951</v>
      </c>
      <c r="G309" s="56" t="s">
        <v>282</v>
      </c>
      <c r="H309" s="56">
        <v>5050</v>
      </c>
      <c r="I309" s="56" t="s">
        <v>624</v>
      </c>
      <c r="J309" s="108">
        <v>2</v>
      </c>
      <c r="K309" s="107">
        <v>106</v>
      </c>
      <c r="L309" s="79" t="s">
        <v>659</v>
      </c>
    </row>
    <row r="310" spans="1:12" ht="13.5" customHeight="1">
      <c r="A310" s="91">
        <v>10605051</v>
      </c>
      <c r="B310" s="99" t="s">
        <v>1455</v>
      </c>
      <c r="C310" s="100" t="s">
        <v>258</v>
      </c>
      <c r="D310" s="56">
        <v>1000</v>
      </c>
      <c r="E310" s="56" t="s">
        <v>264</v>
      </c>
      <c r="F310" s="56">
        <v>5051</v>
      </c>
      <c r="G310" s="56" t="s">
        <v>282</v>
      </c>
      <c r="H310" s="56">
        <v>5150</v>
      </c>
      <c r="I310" s="56" t="s">
        <v>625</v>
      </c>
      <c r="J310" s="108">
        <v>2</v>
      </c>
      <c r="K310" s="107">
        <v>106</v>
      </c>
      <c r="L310" s="79" t="s">
        <v>659</v>
      </c>
    </row>
    <row r="311" spans="1:12" ht="13.5" customHeight="1">
      <c r="A311" s="91">
        <v>10605151</v>
      </c>
      <c r="B311" s="99" t="s">
        <v>1456</v>
      </c>
      <c r="C311" s="100" t="s">
        <v>258</v>
      </c>
      <c r="D311" s="56">
        <v>1000</v>
      </c>
      <c r="E311" s="56" t="s">
        <v>264</v>
      </c>
      <c r="F311" s="56">
        <v>5151</v>
      </c>
      <c r="G311" s="56" t="s">
        <v>282</v>
      </c>
      <c r="H311" s="56">
        <v>5250</v>
      </c>
      <c r="I311" s="56" t="s">
        <v>626</v>
      </c>
      <c r="J311" s="108">
        <v>2</v>
      </c>
      <c r="K311" s="107">
        <v>106</v>
      </c>
      <c r="L311" s="79" t="s">
        <v>659</v>
      </c>
    </row>
    <row r="312" spans="1:12" ht="13.5" customHeight="1">
      <c r="A312" s="91">
        <v>10605251</v>
      </c>
      <c r="B312" s="99" t="s">
        <v>1457</v>
      </c>
      <c r="C312" s="100" t="s">
        <v>258</v>
      </c>
      <c r="D312" s="56">
        <v>1000</v>
      </c>
      <c r="E312" s="56" t="s">
        <v>264</v>
      </c>
      <c r="F312" s="56">
        <v>5251</v>
      </c>
      <c r="G312" s="56" t="s">
        <v>282</v>
      </c>
      <c r="H312" s="56">
        <v>5350</v>
      </c>
      <c r="I312" s="56" t="s">
        <v>627</v>
      </c>
      <c r="J312" s="108">
        <v>3</v>
      </c>
      <c r="K312" s="107">
        <v>106</v>
      </c>
      <c r="L312" s="79" t="s">
        <v>659</v>
      </c>
    </row>
    <row r="313" spans="1:12" ht="13.5" customHeight="1">
      <c r="A313" s="91">
        <v>10605351</v>
      </c>
      <c r="B313" s="99" t="s">
        <v>1458</v>
      </c>
      <c r="C313" s="100" t="s">
        <v>258</v>
      </c>
      <c r="D313" s="56">
        <v>1000</v>
      </c>
      <c r="E313" s="56" t="s">
        <v>264</v>
      </c>
      <c r="F313" s="56">
        <v>5351</v>
      </c>
      <c r="G313" s="56" t="s">
        <v>282</v>
      </c>
      <c r="H313" s="56">
        <v>5450</v>
      </c>
      <c r="I313" s="56" t="s">
        <v>628</v>
      </c>
      <c r="J313" s="108">
        <v>3</v>
      </c>
      <c r="K313" s="107">
        <v>106</v>
      </c>
      <c r="L313" s="79" t="s">
        <v>659</v>
      </c>
    </row>
    <row r="314" spans="1:12" ht="13.5" customHeight="1">
      <c r="A314" s="91">
        <v>10605451</v>
      </c>
      <c r="B314" s="99" t="s">
        <v>1459</v>
      </c>
      <c r="C314" s="100" t="s">
        <v>258</v>
      </c>
      <c r="D314" s="56">
        <v>1000</v>
      </c>
      <c r="E314" s="56" t="s">
        <v>264</v>
      </c>
      <c r="F314" s="56">
        <v>5451</v>
      </c>
      <c r="G314" s="56" t="s">
        <v>282</v>
      </c>
      <c r="H314" s="56">
        <v>5550</v>
      </c>
      <c r="I314" s="56" t="s">
        <v>629</v>
      </c>
      <c r="J314" s="108">
        <v>3</v>
      </c>
      <c r="K314" s="107">
        <v>106</v>
      </c>
      <c r="L314" s="79" t="s">
        <v>659</v>
      </c>
    </row>
    <row r="315" spans="1:12" ht="13.5" customHeight="1">
      <c r="A315" s="91">
        <v>10605551</v>
      </c>
      <c r="B315" s="99" t="s">
        <v>1460</v>
      </c>
      <c r="C315" s="100" t="s">
        <v>258</v>
      </c>
      <c r="D315" s="56">
        <v>1000</v>
      </c>
      <c r="E315" s="56" t="s">
        <v>264</v>
      </c>
      <c r="F315" s="56">
        <v>5551</v>
      </c>
      <c r="G315" s="56" t="s">
        <v>282</v>
      </c>
      <c r="H315" s="56">
        <v>5650</v>
      </c>
      <c r="I315" s="56" t="s">
        <v>630</v>
      </c>
      <c r="J315" s="108">
        <v>3</v>
      </c>
      <c r="K315" s="107">
        <v>106</v>
      </c>
      <c r="L315" s="79" t="s">
        <v>659</v>
      </c>
    </row>
    <row r="316" spans="1:12" ht="13.5" customHeight="1">
      <c r="A316" s="91">
        <v>10605651</v>
      </c>
      <c r="B316" s="99" t="s">
        <v>1461</v>
      </c>
      <c r="C316" s="100" t="s">
        <v>258</v>
      </c>
      <c r="D316" s="56">
        <v>1000</v>
      </c>
      <c r="E316" s="56" t="s">
        <v>264</v>
      </c>
      <c r="F316" s="56">
        <v>5651</v>
      </c>
      <c r="G316" s="56" t="s">
        <v>282</v>
      </c>
      <c r="H316" s="56">
        <v>5750</v>
      </c>
      <c r="I316" s="56" t="s">
        <v>631</v>
      </c>
      <c r="J316" s="108">
        <v>3</v>
      </c>
      <c r="K316" s="107">
        <v>106</v>
      </c>
      <c r="L316" s="79" t="s">
        <v>659</v>
      </c>
    </row>
    <row r="317" spans="1:12" ht="13.5" customHeight="1">
      <c r="A317" s="91">
        <v>10605751</v>
      </c>
      <c r="B317" s="99" t="s">
        <v>1462</v>
      </c>
      <c r="C317" s="100" t="s">
        <v>258</v>
      </c>
      <c r="D317" s="56">
        <v>1000</v>
      </c>
      <c r="E317" s="56" t="s">
        <v>264</v>
      </c>
      <c r="F317" s="56">
        <v>5751</v>
      </c>
      <c r="G317" s="56" t="s">
        <v>282</v>
      </c>
      <c r="H317" s="56">
        <v>5850</v>
      </c>
      <c r="I317" s="56" t="s">
        <v>632</v>
      </c>
      <c r="J317" s="108">
        <v>3</v>
      </c>
      <c r="K317" s="107">
        <v>106</v>
      </c>
      <c r="L317" s="79" t="s">
        <v>659</v>
      </c>
    </row>
    <row r="318" spans="1:12" ht="13.5" customHeight="1">
      <c r="A318" s="91">
        <v>10605851</v>
      </c>
      <c r="B318" s="99" t="s">
        <v>1463</v>
      </c>
      <c r="C318" s="100" t="s">
        <v>258</v>
      </c>
      <c r="D318" s="56">
        <v>1000</v>
      </c>
      <c r="E318" s="56" t="s">
        <v>264</v>
      </c>
      <c r="F318" s="56">
        <v>5851</v>
      </c>
      <c r="G318" s="56" t="s">
        <v>282</v>
      </c>
      <c r="H318" s="56">
        <v>5950</v>
      </c>
      <c r="I318" s="56" t="s">
        <v>633</v>
      </c>
      <c r="J318" s="108">
        <v>3</v>
      </c>
      <c r="K318" s="107">
        <v>106</v>
      </c>
      <c r="L318" s="79" t="s">
        <v>659</v>
      </c>
    </row>
    <row r="319" spans="1:12" ht="13.5" customHeight="1">
      <c r="A319" s="91">
        <v>10605951</v>
      </c>
      <c r="B319" s="99" t="s">
        <v>1464</v>
      </c>
      <c r="C319" s="100" t="s">
        <v>258</v>
      </c>
      <c r="D319" s="56">
        <v>1000</v>
      </c>
      <c r="E319" s="56" t="s">
        <v>264</v>
      </c>
      <c r="F319" s="56">
        <v>5951</v>
      </c>
      <c r="G319" s="56" t="s">
        <v>282</v>
      </c>
      <c r="H319" s="56">
        <v>6050</v>
      </c>
      <c r="I319" s="56" t="s">
        <v>634</v>
      </c>
      <c r="J319" s="108">
        <v>3</v>
      </c>
      <c r="K319" s="107">
        <v>106</v>
      </c>
      <c r="L319" s="79" t="s">
        <v>659</v>
      </c>
    </row>
    <row r="320" spans="1:12" ht="13.5" customHeight="1">
      <c r="A320" s="91">
        <v>10606051</v>
      </c>
      <c r="B320" s="99" t="s">
        <v>1465</v>
      </c>
      <c r="C320" s="100" t="s">
        <v>258</v>
      </c>
      <c r="D320" s="56">
        <v>1000</v>
      </c>
      <c r="E320" s="56" t="s">
        <v>264</v>
      </c>
      <c r="F320" s="56">
        <v>6051</v>
      </c>
      <c r="G320" s="56" t="s">
        <v>282</v>
      </c>
      <c r="H320" s="56">
        <v>6150</v>
      </c>
      <c r="I320" s="56" t="s">
        <v>635</v>
      </c>
      <c r="J320" s="108">
        <v>4</v>
      </c>
      <c r="K320" s="107">
        <v>106</v>
      </c>
      <c r="L320" s="79" t="s">
        <v>659</v>
      </c>
    </row>
    <row r="321" spans="1:12" ht="13.5" customHeight="1">
      <c r="A321" s="91">
        <v>10606151</v>
      </c>
      <c r="B321" s="99" t="s">
        <v>1466</v>
      </c>
      <c r="C321" s="100" t="s">
        <v>258</v>
      </c>
      <c r="D321" s="56">
        <v>1000</v>
      </c>
      <c r="E321" s="56" t="s">
        <v>264</v>
      </c>
      <c r="F321" s="56">
        <v>6151</v>
      </c>
      <c r="G321" s="56" t="s">
        <v>282</v>
      </c>
      <c r="H321" s="56">
        <v>6250</v>
      </c>
      <c r="I321" s="56" t="s">
        <v>636</v>
      </c>
      <c r="J321" s="108">
        <v>4</v>
      </c>
      <c r="K321" s="107">
        <v>106</v>
      </c>
      <c r="L321" s="79" t="s">
        <v>659</v>
      </c>
    </row>
    <row r="322" spans="1:12" ht="13.5" customHeight="1">
      <c r="A322" s="91">
        <v>10606251</v>
      </c>
      <c r="B322" s="99" t="s">
        <v>1467</v>
      </c>
      <c r="C322" s="100" t="s">
        <v>258</v>
      </c>
      <c r="D322" s="56">
        <v>1000</v>
      </c>
      <c r="E322" s="56" t="s">
        <v>264</v>
      </c>
      <c r="F322" s="56">
        <v>6251</v>
      </c>
      <c r="G322" s="56" t="s">
        <v>282</v>
      </c>
      <c r="H322" s="56">
        <v>6350</v>
      </c>
      <c r="I322" s="56" t="s">
        <v>637</v>
      </c>
      <c r="J322" s="108">
        <v>4</v>
      </c>
      <c r="K322" s="107">
        <v>106</v>
      </c>
      <c r="L322" s="79" t="s">
        <v>659</v>
      </c>
    </row>
    <row r="323" spans="1:12" ht="13.5" customHeight="1">
      <c r="A323" s="91">
        <v>10606351</v>
      </c>
      <c r="B323" s="99" t="s">
        <v>1468</v>
      </c>
      <c r="C323" s="100" t="s">
        <v>258</v>
      </c>
      <c r="D323" s="56">
        <v>1000</v>
      </c>
      <c r="E323" s="56" t="s">
        <v>264</v>
      </c>
      <c r="F323" s="56">
        <v>6351</v>
      </c>
      <c r="G323" s="56" t="s">
        <v>282</v>
      </c>
      <c r="H323" s="56">
        <v>6450</v>
      </c>
      <c r="I323" s="56" t="s">
        <v>638</v>
      </c>
      <c r="J323" s="108">
        <v>4</v>
      </c>
      <c r="K323" s="107">
        <v>106</v>
      </c>
      <c r="L323" s="79" t="s">
        <v>659</v>
      </c>
    </row>
    <row r="324" spans="1:12" ht="13.5" customHeight="1">
      <c r="A324" s="91">
        <v>10606451</v>
      </c>
      <c r="B324" s="99" t="s">
        <v>1469</v>
      </c>
      <c r="C324" s="100" t="s">
        <v>258</v>
      </c>
      <c r="D324" s="56">
        <v>1000</v>
      </c>
      <c r="E324" s="56" t="s">
        <v>264</v>
      </c>
      <c r="F324" s="56">
        <v>6451</v>
      </c>
      <c r="G324" s="56" t="s">
        <v>282</v>
      </c>
      <c r="H324" s="56">
        <v>6550</v>
      </c>
      <c r="I324" s="56" t="s">
        <v>639</v>
      </c>
      <c r="J324" s="108">
        <v>4</v>
      </c>
      <c r="K324" s="107">
        <v>106</v>
      </c>
      <c r="L324" s="79" t="s">
        <v>659</v>
      </c>
    </row>
    <row r="325" spans="1:12" ht="13.5" customHeight="1">
      <c r="A325" s="91">
        <v>10606551</v>
      </c>
      <c r="B325" s="99" t="s">
        <v>1470</v>
      </c>
      <c r="C325" s="100" t="s">
        <v>258</v>
      </c>
      <c r="D325" s="56">
        <v>1000</v>
      </c>
      <c r="E325" s="56" t="s">
        <v>264</v>
      </c>
      <c r="F325" s="56">
        <v>6551</v>
      </c>
      <c r="G325" s="56" t="s">
        <v>282</v>
      </c>
      <c r="H325" s="56">
        <v>6650</v>
      </c>
      <c r="I325" s="56" t="s">
        <v>640</v>
      </c>
      <c r="J325" s="108">
        <v>4</v>
      </c>
      <c r="K325" s="107">
        <v>106</v>
      </c>
      <c r="L325" s="79" t="s">
        <v>659</v>
      </c>
    </row>
    <row r="326" spans="1:12" ht="13.5" customHeight="1">
      <c r="A326" s="91">
        <v>10606651</v>
      </c>
      <c r="B326" s="99" t="s">
        <v>1471</v>
      </c>
      <c r="C326" s="100" t="s">
        <v>258</v>
      </c>
      <c r="D326" s="56">
        <v>1000</v>
      </c>
      <c r="E326" s="56" t="s">
        <v>264</v>
      </c>
      <c r="F326" s="56">
        <v>6651</v>
      </c>
      <c r="G326" s="56" t="s">
        <v>282</v>
      </c>
      <c r="H326" s="56">
        <v>6750</v>
      </c>
      <c r="I326" s="56" t="s">
        <v>641</v>
      </c>
      <c r="J326" s="108">
        <v>4</v>
      </c>
      <c r="K326" s="107">
        <v>106</v>
      </c>
      <c r="L326" s="79" t="s">
        <v>659</v>
      </c>
    </row>
    <row r="327" spans="1:12" ht="13.5" customHeight="1">
      <c r="A327" s="91">
        <v>10606751</v>
      </c>
      <c r="B327" s="99" t="s">
        <v>1472</v>
      </c>
      <c r="C327" s="100" t="s">
        <v>258</v>
      </c>
      <c r="D327" s="56">
        <v>1000</v>
      </c>
      <c r="E327" s="56" t="s">
        <v>264</v>
      </c>
      <c r="F327" s="56">
        <v>6751</v>
      </c>
      <c r="G327" s="56" t="s">
        <v>282</v>
      </c>
      <c r="H327" s="56">
        <v>6850</v>
      </c>
      <c r="I327" s="56" t="s">
        <v>642</v>
      </c>
      <c r="J327" s="108">
        <v>4</v>
      </c>
      <c r="K327" s="107">
        <v>106</v>
      </c>
      <c r="L327" s="79" t="s">
        <v>659</v>
      </c>
    </row>
    <row r="328" spans="1:12" ht="13.5" customHeight="1">
      <c r="A328" s="91">
        <v>10606851</v>
      </c>
      <c r="B328" s="99" t="s">
        <v>1473</v>
      </c>
      <c r="C328" s="100" t="s">
        <v>258</v>
      </c>
      <c r="D328" s="56">
        <v>1000</v>
      </c>
      <c r="E328" s="56" t="s">
        <v>264</v>
      </c>
      <c r="F328" s="56">
        <v>6851</v>
      </c>
      <c r="G328" s="56" t="s">
        <v>282</v>
      </c>
      <c r="H328" s="56">
        <v>6950</v>
      </c>
      <c r="I328" s="56" t="s">
        <v>643</v>
      </c>
      <c r="J328" s="108">
        <v>5</v>
      </c>
      <c r="K328" s="107">
        <v>106</v>
      </c>
      <c r="L328" s="79" t="s">
        <v>659</v>
      </c>
    </row>
    <row r="329" spans="1:12" ht="13.5" customHeight="1">
      <c r="A329" s="91">
        <v>10606951</v>
      </c>
      <c r="B329" s="99" t="s">
        <v>1474</v>
      </c>
      <c r="C329" s="100" t="s">
        <v>258</v>
      </c>
      <c r="D329" s="56">
        <v>1000</v>
      </c>
      <c r="E329" s="56" t="s">
        <v>264</v>
      </c>
      <c r="F329" s="56">
        <v>6951</v>
      </c>
      <c r="G329" s="56" t="s">
        <v>282</v>
      </c>
      <c r="H329" s="56">
        <v>7050</v>
      </c>
      <c r="I329" s="56" t="s">
        <v>644</v>
      </c>
      <c r="J329" s="108">
        <v>5</v>
      </c>
      <c r="K329" s="107">
        <v>106</v>
      </c>
      <c r="L329" s="79" t="s">
        <v>659</v>
      </c>
    </row>
    <row r="330" spans="1:12" ht="13.5" customHeight="1">
      <c r="A330" s="91">
        <v>10607051</v>
      </c>
      <c r="B330" s="99" t="s">
        <v>1475</v>
      </c>
      <c r="C330" s="100" t="s">
        <v>258</v>
      </c>
      <c r="D330" s="56">
        <v>1000</v>
      </c>
      <c r="E330" s="56" t="s">
        <v>264</v>
      </c>
      <c r="F330" s="56">
        <v>7051</v>
      </c>
      <c r="G330" s="56" t="s">
        <v>282</v>
      </c>
      <c r="H330" s="56">
        <v>7150</v>
      </c>
      <c r="I330" s="56" t="s">
        <v>645</v>
      </c>
      <c r="J330" s="108">
        <v>5</v>
      </c>
      <c r="K330" s="107">
        <v>106</v>
      </c>
      <c r="L330" s="79" t="s">
        <v>659</v>
      </c>
    </row>
    <row r="331" spans="1:12" ht="13.5" customHeight="1">
      <c r="A331" s="91">
        <v>10607151</v>
      </c>
      <c r="B331" s="99" t="s">
        <v>1476</v>
      </c>
      <c r="C331" s="100" t="s">
        <v>258</v>
      </c>
      <c r="D331" s="56">
        <v>1000</v>
      </c>
      <c r="E331" s="56" t="s">
        <v>264</v>
      </c>
      <c r="F331" s="56">
        <v>7151</v>
      </c>
      <c r="G331" s="56" t="s">
        <v>282</v>
      </c>
      <c r="H331" s="56">
        <v>7250</v>
      </c>
      <c r="I331" s="56" t="s">
        <v>646</v>
      </c>
      <c r="J331" s="108">
        <v>5</v>
      </c>
      <c r="K331" s="107">
        <v>106</v>
      </c>
      <c r="L331" s="79" t="s">
        <v>659</v>
      </c>
    </row>
    <row r="332" spans="1:12" ht="13.5" customHeight="1">
      <c r="A332" s="91">
        <v>10607251</v>
      </c>
      <c r="B332" s="99" t="s">
        <v>1477</v>
      </c>
      <c r="C332" s="100" t="s">
        <v>258</v>
      </c>
      <c r="D332" s="56">
        <v>1000</v>
      </c>
      <c r="E332" s="56" t="s">
        <v>264</v>
      </c>
      <c r="F332" s="56">
        <v>7251</v>
      </c>
      <c r="G332" s="56" t="s">
        <v>282</v>
      </c>
      <c r="H332" s="56">
        <v>7350</v>
      </c>
      <c r="I332" s="56" t="s">
        <v>647</v>
      </c>
      <c r="J332" s="108">
        <v>5</v>
      </c>
      <c r="K332" s="107">
        <v>106</v>
      </c>
      <c r="L332" s="79" t="s">
        <v>659</v>
      </c>
    </row>
    <row r="333" spans="1:12" ht="13.5" customHeight="1">
      <c r="A333" s="91">
        <v>10607351</v>
      </c>
      <c r="B333" s="99" t="s">
        <v>1478</v>
      </c>
      <c r="C333" s="100" t="s">
        <v>258</v>
      </c>
      <c r="D333" s="56">
        <v>1000</v>
      </c>
      <c r="E333" s="56" t="s">
        <v>264</v>
      </c>
      <c r="F333" s="56">
        <v>7351</v>
      </c>
      <c r="G333" s="56" t="s">
        <v>282</v>
      </c>
      <c r="H333" s="56">
        <v>7450</v>
      </c>
      <c r="I333" s="56" t="s">
        <v>648</v>
      </c>
      <c r="J333" s="108">
        <v>5</v>
      </c>
      <c r="K333" s="107">
        <v>106</v>
      </c>
      <c r="L333" s="79" t="s">
        <v>659</v>
      </c>
    </row>
    <row r="334" spans="1:12" ht="13.5" customHeight="1">
      <c r="A334" s="91">
        <v>10607451</v>
      </c>
      <c r="B334" s="99" t="s">
        <v>1479</v>
      </c>
      <c r="C334" s="100" t="s">
        <v>258</v>
      </c>
      <c r="D334" s="56">
        <v>1000</v>
      </c>
      <c r="E334" s="56" t="s">
        <v>264</v>
      </c>
      <c r="F334" s="56">
        <v>7451</v>
      </c>
      <c r="G334" s="56" t="s">
        <v>282</v>
      </c>
      <c r="H334" s="56">
        <v>7550</v>
      </c>
      <c r="I334" s="56" t="s">
        <v>649</v>
      </c>
      <c r="J334" s="108">
        <v>5</v>
      </c>
      <c r="K334" s="107">
        <v>106</v>
      </c>
      <c r="L334" s="79" t="s">
        <v>659</v>
      </c>
    </row>
    <row r="335" spans="1:12" ht="13.5" customHeight="1">
      <c r="A335" s="91">
        <v>10607551</v>
      </c>
      <c r="B335" s="99" t="s">
        <v>1480</v>
      </c>
      <c r="C335" s="100" t="s">
        <v>258</v>
      </c>
      <c r="D335" s="56">
        <v>1000</v>
      </c>
      <c r="E335" s="56" t="s">
        <v>264</v>
      </c>
      <c r="F335" s="56">
        <v>7551</v>
      </c>
      <c r="G335" s="56" t="s">
        <v>282</v>
      </c>
      <c r="H335" s="56">
        <v>7650</v>
      </c>
      <c r="I335" s="56" t="s">
        <v>650</v>
      </c>
      <c r="J335" s="108">
        <v>5</v>
      </c>
      <c r="K335" s="107">
        <v>106</v>
      </c>
      <c r="L335" s="79" t="s">
        <v>659</v>
      </c>
    </row>
    <row r="336" spans="1:12" ht="13.5" customHeight="1">
      <c r="A336" s="91">
        <v>10607651</v>
      </c>
      <c r="B336" s="99" t="s">
        <v>1481</v>
      </c>
      <c r="C336" s="100" t="s">
        <v>258</v>
      </c>
      <c r="D336" s="56">
        <v>1000</v>
      </c>
      <c r="E336" s="56" t="s">
        <v>264</v>
      </c>
      <c r="F336" s="56">
        <v>7651</v>
      </c>
      <c r="G336" s="56" t="s">
        <v>282</v>
      </c>
      <c r="H336" s="56">
        <v>7750</v>
      </c>
      <c r="I336" s="56" t="s">
        <v>651</v>
      </c>
      <c r="J336" s="108">
        <v>6</v>
      </c>
      <c r="K336" s="107">
        <v>106</v>
      </c>
      <c r="L336" s="79" t="s">
        <v>659</v>
      </c>
    </row>
    <row r="337" spans="1:12" ht="13.5" customHeight="1">
      <c r="A337" s="91">
        <v>10607751</v>
      </c>
      <c r="B337" s="99" t="s">
        <v>1482</v>
      </c>
      <c r="C337" s="100" t="s">
        <v>258</v>
      </c>
      <c r="D337" s="56">
        <v>1000</v>
      </c>
      <c r="E337" s="56" t="s">
        <v>264</v>
      </c>
      <c r="F337" s="56">
        <v>7751</v>
      </c>
      <c r="G337" s="56" t="s">
        <v>282</v>
      </c>
      <c r="H337" s="56">
        <v>7850</v>
      </c>
      <c r="I337" s="56" t="s">
        <v>652</v>
      </c>
      <c r="J337" s="108">
        <v>6</v>
      </c>
      <c r="K337" s="107">
        <v>106</v>
      </c>
      <c r="L337" s="79" t="s">
        <v>659</v>
      </c>
    </row>
    <row r="338" spans="1:12" ht="13.5" customHeight="1">
      <c r="A338" s="91">
        <v>10607851</v>
      </c>
      <c r="B338" s="99" t="s">
        <v>1483</v>
      </c>
      <c r="C338" s="100" t="s">
        <v>258</v>
      </c>
      <c r="D338" s="56">
        <v>1000</v>
      </c>
      <c r="E338" s="56" t="s">
        <v>264</v>
      </c>
      <c r="F338" s="56">
        <v>7851</v>
      </c>
      <c r="G338" s="56" t="s">
        <v>282</v>
      </c>
      <c r="H338" s="56">
        <v>7950</v>
      </c>
      <c r="I338" s="56" t="s">
        <v>653</v>
      </c>
      <c r="J338" s="108">
        <v>6</v>
      </c>
      <c r="K338" s="107">
        <v>106</v>
      </c>
      <c r="L338" s="79" t="s">
        <v>659</v>
      </c>
    </row>
    <row r="339" spans="1:12" ht="13.5" customHeight="1">
      <c r="A339" s="91">
        <v>10607951</v>
      </c>
      <c r="B339" s="102" t="s">
        <v>1484</v>
      </c>
      <c r="C339" s="103" t="s">
        <v>258</v>
      </c>
      <c r="D339" s="105">
        <v>1000</v>
      </c>
      <c r="E339" s="105" t="s">
        <v>264</v>
      </c>
      <c r="F339" s="105">
        <v>7951</v>
      </c>
      <c r="G339" s="105" t="s">
        <v>282</v>
      </c>
      <c r="H339" s="105">
        <v>8050</v>
      </c>
      <c r="I339" s="105" t="s">
        <v>654</v>
      </c>
      <c r="J339" s="109">
        <v>6</v>
      </c>
      <c r="K339" s="107">
        <v>106</v>
      </c>
      <c r="L339" s="79" t="s">
        <v>659</v>
      </c>
    </row>
    <row r="340" spans="1:12" ht="13.5" customHeight="1">
      <c r="A340" s="91">
        <v>10700000</v>
      </c>
      <c r="B340" s="92" t="s">
        <v>1485</v>
      </c>
      <c r="C340" s="93" t="s">
        <v>258</v>
      </c>
      <c r="D340" s="94">
        <v>1100</v>
      </c>
      <c r="E340" s="94" t="s">
        <v>596</v>
      </c>
      <c r="F340" s="94">
        <v>0</v>
      </c>
      <c r="G340" s="94" t="s">
        <v>282</v>
      </c>
      <c r="H340" s="94">
        <v>2645</v>
      </c>
      <c r="I340" s="94" t="s">
        <v>597</v>
      </c>
      <c r="J340" s="110">
        <v>0</v>
      </c>
      <c r="K340" s="107">
        <v>107</v>
      </c>
      <c r="L340" s="79" t="s">
        <v>659</v>
      </c>
    </row>
    <row r="341" spans="1:12" ht="13.5" customHeight="1">
      <c r="A341" s="91">
        <v>10702646</v>
      </c>
      <c r="B341" s="99" t="s">
        <v>1486</v>
      </c>
      <c r="C341" s="100" t="s">
        <v>258</v>
      </c>
      <c r="D341" s="56">
        <v>1100</v>
      </c>
      <c r="E341" s="56" t="s">
        <v>596</v>
      </c>
      <c r="F341" s="56">
        <v>2646</v>
      </c>
      <c r="G341" s="56" t="s">
        <v>282</v>
      </c>
      <c r="H341" s="56">
        <v>2715</v>
      </c>
      <c r="I341" s="56" t="s">
        <v>599</v>
      </c>
      <c r="J341" s="108">
        <v>0</v>
      </c>
      <c r="K341" s="107">
        <v>107</v>
      </c>
      <c r="L341" s="79" t="s">
        <v>659</v>
      </c>
    </row>
    <row r="342" spans="1:12" ht="13.5" customHeight="1">
      <c r="A342" s="91">
        <v>10702716</v>
      </c>
      <c r="B342" s="99" t="s">
        <v>1487</v>
      </c>
      <c r="C342" s="100" t="s">
        <v>258</v>
      </c>
      <c r="D342" s="56">
        <v>1100</v>
      </c>
      <c r="E342" s="56" t="s">
        <v>596</v>
      </c>
      <c r="F342" s="56">
        <v>2716</v>
      </c>
      <c r="G342" s="56" t="s">
        <v>282</v>
      </c>
      <c r="H342" s="56">
        <v>2765</v>
      </c>
      <c r="I342" s="56" t="s">
        <v>600</v>
      </c>
      <c r="J342" s="108">
        <v>0</v>
      </c>
      <c r="K342" s="107">
        <v>107</v>
      </c>
      <c r="L342" s="79" t="s">
        <v>659</v>
      </c>
    </row>
    <row r="343" spans="1:12" ht="13.5" customHeight="1">
      <c r="A343" s="91">
        <v>10702766</v>
      </c>
      <c r="B343" s="99" t="s">
        <v>1488</v>
      </c>
      <c r="C343" s="100" t="s">
        <v>258</v>
      </c>
      <c r="D343" s="56">
        <v>1100</v>
      </c>
      <c r="E343" s="56" t="s">
        <v>596</v>
      </c>
      <c r="F343" s="56">
        <v>2766</v>
      </c>
      <c r="G343" s="56" t="s">
        <v>282</v>
      </c>
      <c r="H343" s="56">
        <v>2865</v>
      </c>
      <c r="I343" s="56" t="s">
        <v>602</v>
      </c>
      <c r="J343" s="108">
        <v>0</v>
      </c>
      <c r="K343" s="107">
        <v>107</v>
      </c>
      <c r="L343" s="79" t="s">
        <v>659</v>
      </c>
    </row>
    <row r="344" spans="1:12" ht="13.5" customHeight="1">
      <c r="A344" s="91">
        <v>10702866</v>
      </c>
      <c r="B344" s="99" t="s">
        <v>1489</v>
      </c>
      <c r="C344" s="100" t="s">
        <v>258</v>
      </c>
      <c r="D344" s="56">
        <v>1100</v>
      </c>
      <c r="E344" s="56" t="s">
        <v>596</v>
      </c>
      <c r="F344" s="56">
        <v>2866</v>
      </c>
      <c r="G344" s="56" t="s">
        <v>282</v>
      </c>
      <c r="H344" s="56">
        <v>2965</v>
      </c>
      <c r="I344" s="56" t="s">
        <v>603</v>
      </c>
      <c r="J344" s="108">
        <v>0</v>
      </c>
      <c r="K344" s="107">
        <v>107</v>
      </c>
      <c r="L344" s="79" t="s">
        <v>659</v>
      </c>
    </row>
    <row r="345" spans="1:12" ht="14.25" customHeight="1">
      <c r="A345" s="91">
        <v>10702966</v>
      </c>
      <c r="B345" s="99" t="s">
        <v>1490</v>
      </c>
      <c r="C345" s="100" t="s">
        <v>258</v>
      </c>
      <c r="D345" s="56">
        <v>1100</v>
      </c>
      <c r="E345" s="56" t="s">
        <v>596</v>
      </c>
      <c r="F345" s="56">
        <v>2966</v>
      </c>
      <c r="G345" s="56" t="s">
        <v>282</v>
      </c>
      <c r="H345" s="56">
        <v>3065</v>
      </c>
      <c r="I345" s="56" t="s">
        <v>604</v>
      </c>
      <c r="J345" s="108">
        <v>0</v>
      </c>
      <c r="K345" s="107">
        <v>107</v>
      </c>
      <c r="L345" s="79" t="s">
        <v>659</v>
      </c>
    </row>
    <row r="346" spans="1:12" ht="13.5" customHeight="1">
      <c r="A346" s="91">
        <v>10703066</v>
      </c>
      <c r="B346" s="99" t="s">
        <v>1491</v>
      </c>
      <c r="C346" s="100" t="s">
        <v>258</v>
      </c>
      <c r="D346" s="56">
        <v>1100</v>
      </c>
      <c r="E346" s="56" t="s">
        <v>596</v>
      </c>
      <c r="F346" s="56">
        <v>3066</v>
      </c>
      <c r="G346" s="56" t="s">
        <v>282</v>
      </c>
      <c r="H346" s="56">
        <v>3165</v>
      </c>
      <c r="I346" s="56" t="s">
        <v>605</v>
      </c>
      <c r="J346" s="108">
        <v>0</v>
      </c>
      <c r="K346" s="107">
        <v>107</v>
      </c>
      <c r="L346" s="79" t="s">
        <v>659</v>
      </c>
    </row>
    <row r="347" spans="1:12" ht="13.5" customHeight="1">
      <c r="A347" s="91">
        <v>10703166</v>
      </c>
      <c r="B347" s="99" t="s">
        <v>1492</v>
      </c>
      <c r="C347" s="100" t="s">
        <v>258</v>
      </c>
      <c r="D347" s="56">
        <v>1100</v>
      </c>
      <c r="E347" s="56" t="s">
        <v>596</v>
      </c>
      <c r="F347" s="56">
        <v>3166</v>
      </c>
      <c r="G347" s="56" t="s">
        <v>282</v>
      </c>
      <c r="H347" s="56">
        <v>3265</v>
      </c>
      <c r="I347" s="56" t="s">
        <v>606</v>
      </c>
      <c r="J347" s="108">
        <v>0</v>
      </c>
      <c r="K347" s="107">
        <v>107</v>
      </c>
      <c r="L347" s="79" t="s">
        <v>659</v>
      </c>
    </row>
    <row r="348" spans="1:12" ht="13.5" customHeight="1">
      <c r="A348" s="91">
        <v>10703266</v>
      </c>
      <c r="B348" s="99" t="s">
        <v>1493</v>
      </c>
      <c r="C348" s="100" t="s">
        <v>258</v>
      </c>
      <c r="D348" s="56">
        <v>1100</v>
      </c>
      <c r="E348" s="56" t="s">
        <v>596</v>
      </c>
      <c r="F348" s="56">
        <v>3266</v>
      </c>
      <c r="G348" s="56" t="s">
        <v>282</v>
      </c>
      <c r="H348" s="56">
        <v>3365</v>
      </c>
      <c r="I348" s="56" t="s">
        <v>607</v>
      </c>
      <c r="J348" s="108">
        <v>0</v>
      </c>
      <c r="K348" s="107">
        <v>107</v>
      </c>
      <c r="L348" s="79" t="s">
        <v>659</v>
      </c>
    </row>
    <row r="349" spans="1:12" ht="13.5" customHeight="1">
      <c r="A349" s="91">
        <v>10703366</v>
      </c>
      <c r="B349" s="99" t="s">
        <v>1494</v>
      </c>
      <c r="C349" s="100" t="s">
        <v>258</v>
      </c>
      <c r="D349" s="56">
        <v>1100</v>
      </c>
      <c r="E349" s="56" t="s">
        <v>596</v>
      </c>
      <c r="F349" s="56">
        <v>3366</v>
      </c>
      <c r="G349" s="56" t="s">
        <v>282</v>
      </c>
      <c r="H349" s="56">
        <v>3465</v>
      </c>
      <c r="I349" s="56" t="s">
        <v>608</v>
      </c>
      <c r="J349" s="108">
        <v>0</v>
      </c>
      <c r="K349" s="107">
        <v>107</v>
      </c>
      <c r="L349" s="79" t="s">
        <v>659</v>
      </c>
    </row>
    <row r="350" spans="1:12" ht="13.5" customHeight="1">
      <c r="A350" s="91">
        <v>10703466</v>
      </c>
      <c r="B350" s="99" t="s">
        <v>1495</v>
      </c>
      <c r="C350" s="100" t="s">
        <v>258</v>
      </c>
      <c r="D350" s="56">
        <v>1100</v>
      </c>
      <c r="E350" s="56" t="s">
        <v>596</v>
      </c>
      <c r="F350" s="56">
        <v>3466</v>
      </c>
      <c r="G350" s="56" t="s">
        <v>282</v>
      </c>
      <c r="H350" s="56">
        <v>3565</v>
      </c>
      <c r="I350" s="56" t="s">
        <v>609</v>
      </c>
      <c r="J350" s="108">
        <v>0</v>
      </c>
      <c r="K350" s="107">
        <v>107</v>
      </c>
      <c r="L350" s="79" t="s">
        <v>659</v>
      </c>
    </row>
    <row r="351" spans="1:12" ht="13.5" customHeight="1">
      <c r="A351" s="91">
        <v>10703566</v>
      </c>
      <c r="B351" s="99" t="s">
        <v>1496</v>
      </c>
      <c r="C351" s="100" t="s">
        <v>258</v>
      </c>
      <c r="D351" s="56">
        <v>1100</v>
      </c>
      <c r="E351" s="56" t="s">
        <v>596</v>
      </c>
      <c r="F351" s="56">
        <v>3566</v>
      </c>
      <c r="G351" s="56" t="s">
        <v>282</v>
      </c>
      <c r="H351" s="56">
        <v>3665</v>
      </c>
      <c r="I351" s="56" t="s">
        <v>610</v>
      </c>
      <c r="J351" s="108">
        <v>0</v>
      </c>
      <c r="K351" s="107">
        <v>107</v>
      </c>
      <c r="L351" s="79" t="s">
        <v>659</v>
      </c>
    </row>
    <row r="352" spans="1:12" ht="13.5" customHeight="1">
      <c r="A352" s="91">
        <v>10703666</v>
      </c>
      <c r="B352" s="99" t="s">
        <v>1497</v>
      </c>
      <c r="C352" s="100" t="s">
        <v>258</v>
      </c>
      <c r="D352" s="56">
        <v>1100</v>
      </c>
      <c r="E352" s="56" t="s">
        <v>596</v>
      </c>
      <c r="F352" s="56">
        <v>3666</v>
      </c>
      <c r="G352" s="56" t="s">
        <v>282</v>
      </c>
      <c r="H352" s="56">
        <v>3765</v>
      </c>
      <c r="I352" s="56" t="s">
        <v>611</v>
      </c>
      <c r="J352" s="108">
        <v>1</v>
      </c>
      <c r="K352" s="107">
        <v>107</v>
      </c>
      <c r="L352" s="79" t="s">
        <v>659</v>
      </c>
    </row>
    <row r="353" spans="1:12" ht="13.5" customHeight="1">
      <c r="A353" s="91">
        <v>10703766</v>
      </c>
      <c r="B353" s="99" t="s">
        <v>1498</v>
      </c>
      <c r="C353" s="100" t="s">
        <v>258</v>
      </c>
      <c r="D353" s="56">
        <v>1100</v>
      </c>
      <c r="E353" s="56" t="s">
        <v>596</v>
      </c>
      <c r="F353" s="56">
        <v>3766</v>
      </c>
      <c r="G353" s="56" t="s">
        <v>282</v>
      </c>
      <c r="H353" s="56">
        <v>3865</v>
      </c>
      <c r="I353" s="56" t="s">
        <v>612</v>
      </c>
      <c r="J353" s="108">
        <v>1</v>
      </c>
      <c r="K353" s="107">
        <v>107</v>
      </c>
      <c r="L353" s="79" t="s">
        <v>659</v>
      </c>
    </row>
    <row r="354" spans="1:12" ht="13.5" customHeight="1">
      <c r="A354" s="91">
        <v>10703866</v>
      </c>
      <c r="B354" s="99" t="s">
        <v>1499</v>
      </c>
      <c r="C354" s="100" t="s">
        <v>258</v>
      </c>
      <c r="D354" s="56">
        <v>1100</v>
      </c>
      <c r="E354" s="56" t="s">
        <v>596</v>
      </c>
      <c r="F354" s="56">
        <v>3866</v>
      </c>
      <c r="G354" s="56" t="s">
        <v>282</v>
      </c>
      <c r="H354" s="56">
        <v>3965</v>
      </c>
      <c r="I354" s="56" t="s">
        <v>613</v>
      </c>
      <c r="J354" s="108">
        <v>1</v>
      </c>
      <c r="K354" s="107">
        <v>107</v>
      </c>
      <c r="L354" s="79" t="s">
        <v>659</v>
      </c>
    </row>
    <row r="355" spans="1:12" ht="13.5" customHeight="1">
      <c r="A355" s="91">
        <v>10703966</v>
      </c>
      <c r="B355" s="99" t="s">
        <v>1500</v>
      </c>
      <c r="C355" s="100" t="s">
        <v>258</v>
      </c>
      <c r="D355" s="56">
        <v>1100</v>
      </c>
      <c r="E355" s="56" t="s">
        <v>596</v>
      </c>
      <c r="F355" s="56">
        <v>3966</v>
      </c>
      <c r="G355" s="56" t="s">
        <v>282</v>
      </c>
      <c r="H355" s="56">
        <v>4065</v>
      </c>
      <c r="I355" s="56" t="s">
        <v>614</v>
      </c>
      <c r="J355" s="108">
        <v>1</v>
      </c>
      <c r="K355" s="107">
        <v>107</v>
      </c>
      <c r="L355" s="79" t="s">
        <v>659</v>
      </c>
    </row>
    <row r="356" spans="1:12" ht="13.5" customHeight="1">
      <c r="A356" s="91">
        <v>10704066</v>
      </c>
      <c r="B356" s="99" t="s">
        <v>1501</v>
      </c>
      <c r="C356" s="100" t="s">
        <v>258</v>
      </c>
      <c r="D356" s="56">
        <v>1100</v>
      </c>
      <c r="E356" s="56" t="s">
        <v>596</v>
      </c>
      <c r="F356" s="56">
        <v>4066</v>
      </c>
      <c r="G356" s="56" t="s">
        <v>282</v>
      </c>
      <c r="H356" s="56">
        <v>4165</v>
      </c>
      <c r="I356" s="56" t="s">
        <v>615</v>
      </c>
      <c r="J356" s="108">
        <v>1</v>
      </c>
      <c r="K356" s="107">
        <v>107</v>
      </c>
      <c r="L356" s="79" t="s">
        <v>659</v>
      </c>
    </row>
    <row r="357" spans="1:12" ht="13.5" customHeight="1">
      <c r="A357" s="91">
        <v>10704166</v>
      </c>
      <c r="B357" s="99" t="s">
        <v>1502</v>
      </c>
      <c r="C357" s="100" t="s">
        <v>258</v>
      </c>
      <c r="D357" s="56">
        <v>1100</v>
      </c>
      <c r="E357" s="56" t="s">
        <v>596</v>
      </c>
      <c r="F357" s="56">
        <v>4166</v>
      </c>
      <c r="G357" s="56" t="s">
        <v>282</v>
      </c>
      <c r="H357" s="56">
        <v>4265</v>
      </c>
      <c r="I357" s="56" t="s">
        <v>616</v>
      </c>
      <c r="J357" s="108">
        <v>1</v>
      </c>
      <c r="K357" s="107">
        <v>107</v>
      </c>
      <c r="L357" s="79" t="s">
        <v>659</v>
      </c>
    </row>
    <row r="358" spans="1:12" ht="13.5" customHeight="1">
      <c r="A358" s="91">
        <v>10704266</v>
      </c>
      <c r="B358" s="99" t="s">
        <v>1503</v>
      </c>
      <c r="C358" s="100" t="s">
        <v>258</v>
      </c>
      <c r="D358" s="56">
        <v>1100</v>
      </c>
      <c r="E358" s="56" t="s">
        <v>596</v>
      </c>
      <c r="F358" s="56">
        <v>4266</v>
      </c>
      <c r="G358" s="56" t="s">
        <v>282</v>
      </c>
      <c r="H358" s="56">
        <v>4365</v>
      </c>
      <c r="I358" s="56" t="s">
        <v>617</v>
      </c>
      <c r="J358" s="108">
        <v>1</v>
      </c>
      <c r="K358" s="107">
        <v>107</v>
      </c>
      <c r="L358" s="79" t="s">
        <v>659</v>
      </c>
    </row>
    <row r="359" spans="1:12" ht="13.5" customHeight="1">
      <c r="A359" s="91">
        <v>10704366</v>
      </c>
      <c r="B359" s="99" t="s">
        <v>1504</v>
      </c>
      <c r="C359" s="100" t="s">
        <v>258</v>
      </c>
      <c r="D359" s="56">
        <v>1100</v>
      </c>
      <c r="E359" s="56" t="s">
        <v>596</v>
      </c>
      <c r="F359" s="56">
        <v>4366</v>
      </c>
      <c r="G359" s="56" t="s">
        <v>282</v>
      </c>
      <c r="H359" s="56">
        <v>4465</v>
      </c>
      <c r="I359" s="56" t="s">
        <v>618</v>
      </c>
      <c r="J359" s="108">
        <v>1</v>
      </c>
      <c r="K359" s="107">
        <v>107</v>
      </c>
      <c r="L359" s="79" t="s">
        <v>659</v>
      </c>
    </row>
    <row r="360" spans="1:12" ht="13.5" customHeight="1">
      <c r="A360" s="91">
        <v>10704466</v>
      </c>
      <c r="B360" s="99" t="s">
        <v>1505</v>
      </c>
      <c r="C360" s="100" t="s">
        <v>258</v>
      </c>
      <c r="D360" s="56">
        <v>1100</v>
      </c>
      <c r="E360" s="56" t="s">
        <v>596</v>
      </c>
      <c r="F360" s="56">
        <v>4466</v>
      </c>
      <c r="G360" s="56" t="s">
        <v>282</v>
      </c>
      <c r="H360" s="56">
        <v>4565</v>
      </c>
      <c r="I360" s="56" t="s">
        <v>619</v>
      </c>
      <c r="J360" s="108">
        <v>2</v>
      </c>
      <c r="K360" s="107">
        <v>107</v>
      </c>
      <c r="L360" s="79" t="s">
        <v>659</v>
      </c>
    </row>
    <row r="361" spans="1:12" ht="13.5" customHeight="1">
      <c r="A361" s="91">
        <v>10704566</v>
      </c>
      <c r="B361" s="99" t="s">
        <v>1506</v>
      </c>
      <c r="C361" s="100" t="s">
        <v>258</v>
      </c>
      <c r="D361" s="56">
        <v>1100</v>
      </c>
      <c r="E361" s="56" t="s">
        <v>596</v>
      </c>
      <c r="F361" s="56">
        <v>4566</v>
      </c>
      <c r="G361" s="56" t="s">
        <v>282</v>
      </c>
      <c r="H361" s="56">
        <v>4665</v>
      </c>
      <c r="I361" s="56" t="s">
        <v>620</v>
      </c>
      <c r="J361" s="108">
        <v>2</v>
      </c>
      <c r="K361" s="107">
        <v>107</v>
      </c>
      <c r="L361" s="79" t="s">
        <v>659</v>
      </c>
    </row>
    <row r="362" spans="1:12" ht="13.5" customHeight="1">
      <c r="A362" s="91">
        <v>10704666</v>
      </c>
      <c r="B362" s="99" t="s">
        <v>1507</v>
      </c>
      <c r="C362" s="100" t="s">
        <v>258</v>
      </c>
      <c r="D362" s="56">
        <v>1100</v>
      </c>
      <c r="E362" s="56" t="s">
        <v>596</v>
      </c>
      <c r="F362" s="56">
        <v>4666</v>
      </c>
      <c r="G362" s="56" t="s">
        <v>282</v>
      </c>
      <c r="H362" s="56">
        <v>4765</v>
      </c>
      <c r="I362" s="56" t="s">
        <v>621</v>
      </c>
      <c r="J362" s="108">
        <v>2</v>
      </c>
      <c r="K362" s="107">
        <v>107</v>
      </c>
      <c r="L362" s="79" t="s">
        <v>659</v>
      </c>
    </row>
    <row r="363" spans="1:12" ht="13.5" customHeight="1">
      <c r="A363" s="91">
        <v>10704766</v>
      </c>
      <c r="B363" s="99" t="s">
        <v>1508</v>
      </c>
      <c r="C363" s="100" t="s">
        <v>258</v>
      </c>
      <c r="D363" s="56">
        <v>1100</v>
      </c>
      <c r="E363" s="56" t="s">
        <v>596</v>
      </c>
      <c r="F363" s="56">
        <v>4766</v>
      </c>
      <c r="G363" s="56" t="s">
        <v>282</v>
      </c>
      <c r="H363" s="56">
        <v>4865</v>
      </c>
      <c r="I363" s="56" t="s">
        <v>622</v>
      </c>
      <c r="J363" s="108">
        <v>2</v>
      </c>
      <c r="K363" s="107">
        <v>107</v>
      </c>
      <c r="L363" s="79" t="s">
        <v>659</v>
      </c>
    </row>
    <row r="364" spans="1:12" ht="13.5" customHeight="1">
      <c r="A364" s="91">
        <v>10704866</v>
      </c>
      <c r="B364" s="99" t="s">
        <v>1509</v>
      </c>
      <c r="C364" s="100" t="s">
        <v>258</v>
      </c>
      <c r="D364" s="56">
        <v>1100</v>
      </c>
      <c r="E364" s="56" t="s">
        <v>596</v>
      </c>
      <c r="F364" s="56">
        <v>4866</v>
      </c>
      <c r="G364" s="56" t="s">
        <v>282</v>
      </c>
      <c r="H364" s="56">
        <v>4965</v>
      </c>
      <c r="I364" s="56" t="s">
        <v>623</v>
      </c>
      <c r="J364" s="108">
        <v>2</v>
      </c>
      <c r="K364" s="107">
        <v>107</v>
      </c>
      <c r="L364" s="79" t="s">
        <v>659</v>
      </c>
    </row>
    <row r="365" spans="1:12" ht="13.5" customHeight="1">
      <c r="A365" s="91">
        <v>10704966</v>
      </c>
      <c r="B365" s="99" t="s">
        <v>1510</v>
      </c>
      <c r="C365" s="100" t="s">
        <v>258</v>
      </c>
      <c r="D365" s="56">
        <v>1100</v>
      </c>
      <c r="E365" s="56" t="s">
        <v>596</v>
      </c>
      <c r="F365" s="56">
        <v>4966</v>
      </c>
      <c r="G365" s="56" t="s">
        <v>282</v>
      </c>
      <c r="H365" s="56">
        <v>5065</v>
      </c>
      <c r="I365" s="56" t="s">
        <v>624</v>
      </c>
      <c r="J365" s="108">
        <v>2</v>
      </c>
      <c r="K365" s="107">
        <v>107</v>
      </c>
      <c r="L365" s="79" t="s">
        <v>659</v>
      </c>
    </row>
    <row r="366" spans="1:12" ht="13.5" customHeight="1">
      <c r="A366" s="91">
        <v>10705066</v>
      </c>
      <c r="B366" s="99" t="s">
        <v>1511</v>
      </c>
      <c r="C366" s="100" t="s">
        <v>258</v>
      </c>
      <c r="D366" s="56">
        <v>1100</v>
      </c>
      <c r="E366" s="56" t="s">
        <v>596</v>
      </c>
      <c r="F366" s="56">
        <v>5066</v>
      </c>
      <c r="G366" s="56" t="s">
        <v>282</v>
      </c>
      <c r="H366" s="56">
        <v>5165</v>
      </c>
      <c r="I366" s="56" t="s">
        <v>625</v>
      </c>
      <c r="J366" s="108">
        <v>2</v>
      </c>
      <c r="K366" s="107">
        <v>107</v>
      </c>
      <c r="L366" s="79" t="s">
        <v>659</v>
      </c>
    </row>
    <row r="367" spans="1:12" ht="13.5" customHeight="1">
      <c r="A367" s="91">
        <v>10705166</v>
      </c>
      <c r="B367" s="99" t="s">
        <v>1512</v>
      </c>
      <c r="C367" s="100" t="s">
        <v>258</v>
      </c>
      <c r="D367" s="56">
        <v>1100</v>
      </c>
      <c r="E367" s="56" t="s">
        <v>596</v>
      </c>
      <c r="F367" s="56">
        <v>5166</v>
      </c>
      <c r="G367" s="56" t="s">
        <v>282</v>
      </c>
      <c r="H367" s="56">
        <v>5265</v>
      </c>
      <c r="I367" s="56" t="s">
        <v>626</v>
      </c>
      <c r="J367" s="108">
        <v>2</v>
      </c>
      <c r="K367" s="107">
        <v>107</v>
      </c>
      <c r="L367" s="79" t="s">
        <v>659</v>
      </c>
    </row>
    <row r="368" spans="1:12" ht="13.5" customHeight="1">
      <c r="A368" s="91">
        <v>10705266</v>
      </c>
      <c r="B368" s="99" t="s">
        <v>1513</v>
      </c>
      <c r="C368" s="100" t="s">
        <v>258</v>
      </c>
      <c r="D368" s="56">
        <v>1100</v>
      </c>
      <c r="E368" s="56" t="s">
        <v>596</v>
      </c>
      <c r="F368" s="56">
        <v>5266</v>
      </c>
      <c r="G368" s="56" t="s">
        <v>282</v>
      </c>
      <c r="H368" s="56">
        <v>5365</v>
      </c>
      <c r="I368" s="56" t="s">
        <v>627</v>
      </c>
      <c r="J368" s="108">
        <v>3</v>
      </c>
      <c r="K368" s="107">
        <v>107</v>
      </c>
      <c r="L368" s="79" t="s">
        <v>659</v>
      </c>
    </row>
    <row r="369" spans="1:12" ht="13.5" customHeight="1">
      <c r="A369" s="91">
        <v>10705366</v>
      </c>
      <c r="B369" s="99" t="s">
        <v>1514</v>
      </c>
      <c r="C369" s="100" t="s">
        <v>258</v>
      </c>
      <c r="D369" s="56">
        <v>1100</v>
      </c>
      <c r="E369" s="56" t="s">
        <v>596</v>
      </c>
      <c r="F369" s="56">
        <v>5366</v>
      </c>
      <c r="G369" s="56" t="s">
        <v>282</v>
      </c>
      <c r="H369" s="56">
        <v>5465</v>
      </c>
      <c r="I369" s="56" t="s">
        <v>628</v>
      </c>
      <c r="J369" s="108">
        <v>3</v>
      </c>
      <c r="K369" s="107">
        <v>107</v>
      </c>
      <c r="L369" s="79" t="s">
        <v>659</v>
      </c>
    </row>
    <row r="370" spans="1:12" ht="13.5" customHeight="1">
      <c r="A370" s="91">
        <v>10705466</v>
      </c>
      <c r="B370" s="99" t="s">
        <v>1515</v>
      </c>
      <c r="C370" s="100" t="s">
        <v>258</v>
      </c>
      <c r="D370" s="56">
        <v>1100</v>
      </c>
      <c r="E370" s="56" t="s">
        <v>596</v>
      </c>
      <c r="F370" s="56">
        <v>5466</v>
      </c>
      <c r="G370" s="56" t="s">
        <v>282</v>
      </c>
      <c r="H370" s="56">
        <v>5565</v>
      </c>
      <c r="I370" s="56" t="s">
        <v>629</v>
      </c>
      <c r="J370" s="108">
        <v>3</v>
      </c>
      <c r="K370" s="107">
        <v>107</v>
      </c>
      <c r="L370" s="79" t="s">
        <v>659</v>
      </c>
    </row>
    <row r="371" spans="1:12" ht="13.5" customHeight="1">
      <c r="A371" s="91">
        <v>10705566</v>
      </c>
      <c r="B371" s="99" t="s">
        <v>1516</v>
      </c>
      <c r="C371" s="100" t="s">
        <v>258</v>
      </c>
      <c r="D371" s="56">
        <v>1100</v>
      </c>
      <c r="E371" s="56" t="s">
        <v>596</v>
      </c>
      <c r="F371" s="56">
        <v>5566</v>
      </c>
      <c r="G371" s="56" t="s">
        <v>282</v>
      </c>
      <c r="H371" s="56">
        <v>5665</v>
      </c>
      <c r="I371" s="56" t="s">
        <v>630</v>
      </c>
      <c r="J371" s="108">
        <v>3</v>
      </c>
      <c r="K371" s="107">
        <v>107</v>
      </c>
      <c r="L371" s="79" t="s">
        <v>659</v>
      </c>
    </row>
    <row r="372" spans="1:12" ht="13.5" customHeight="1">
      <c r="A372" s="91">
        <v>10705666</v>
      </c>
      <c r="B372" s="99" t="s">
        <v>1517</v>
      </c>
      <c r="C372" s="100" t="s">
        <v>258</v>
      </c>
      <c r="D372" s="56">
        <v>1100</v>
      </c>
      <c r="E372" s="56" t="s">
        <v>596</v>
      </c>
      <c r="F372" s="56">
        <v>5666</v>
      </c>
      <c r="G372" s="56" t="s">
        <v>282</v>
      </c>
      <c r="H372" s="56">
        <v>5765</v>
      </c>
      <c r="I372" s="56" t="s">
        <v>631</v>
      </c>
      <c r="J372" s="108">
        <v>3</v>
      </c>
      <c r="K372" s="107">
        <v>107</v>
      </c>
      <c r="L372" s="79" t="s">
        <v>659</v>
      </c>
    </row>
    <row r="373" spans="1:12" ht="13.5" customHeight="1">
      <c r="A373" s="91">
        <v>10705766</v>
      </c>
      <c r="B373" s="99" t="s">
        <v>1518</v>
      </c>
      <c r="C373" s="100" t="s">
        <v>258</v>
      </c>
      <c r="D373" s="56">
        <v>1100</v>
      </c>
      <c r="E373" s="56" t="s">
        <v>596</v>
      </c>
      <c r="F373" s="56">
        <v>5766</v>
      </c>
      <c r="G373" s="56" t="s">
        <v>282</v>
      </c>
      <c r="H373" s="56">
        <v>5865</v>
      </c>
      <c r="I373" s="56" t="s">
        <v>632</v>
      </c>
      <c r="J373" s="108">
        <v>3</v>
      </c>
      <c r="K373" s="107">
        <v>107</v>
      </c>
      <c r="L373" s="79" t="s">
        <v>659</v>
      </c>
    </row>
    <row r="374" spans="1:12" ht="13.5" customHeight="1">
      <c r="A374" s="91">
        <v>10705866</v>
      </c>
      <c r="B374" s="99" t="s">
        <v>1519</v>
      </c>
      <c r="C374" s="100" t="s">
        <v>258</v>
      </c>
      <c r="D374" s="56">
        <v>1100</v>
      </c>
      <c r="E374" s="56" t="s">
        <v>596</v>
      </c>
      <c r="F374" s="56">
        <v>5866</v>
      </c>
      <c r="G374" s="56" t="s">
        <v>282</v>
      </c>
      <c r="H374" s="56">
        <v>5965</v>
      </c>
      <c r="I374" s="56" t="s">
        <v>633</v>
      </c>
      <c r="J374" s="108">
        <v>3</v>
      </c>
      <c r="K374" s="107">
        <v>107</v>
      </c>
      <c r="L374" s="79" t="s">
        <v>659</v>
      </c>
    </row>
    <row r="375" spans="1:12" ht="13.5" customHeight="1">
      <c r="A375" s="91">
        <v>10705966</v>
      </c>
      <c r="B375" s="99" t="s">
        <v>1520</v>
      </c>
      <c r="C375" s="100" t="s">
        <v>258</v>
      </c>
      <c r="D375" s="56">
        <v>1100</v>
      </c>
      <c r="E375" s="56" t="s">
        <v>596</v>
      </c>
      <c r="F375" s="56">
        <v>5966</v>
      </c>
      <c r="G375" s="56" t="s">
        <v>282</v>
      </c>
      <c r="H375" s="56">
        <v>6065</v>
      </c>
      <c r="I375" s="56" t="s">
        <v>634</v>
      </c>
      <c r="J375" s="108">
        <v>3</v>
      </c>
      <c r="K375" s="107">
        <v>107</v>
      </c>
      <c r="L375" s="79" t="s">
        <v>659</v>
      </c>
    </row>
    <row r="376" spans="1:12" ht="13.5" customHeight="1">
      <c r="A376" s="91">
        <v>10706066</v>
      </c>
      <c r="B376" s="99" t="s">
        <v>1521</v>
      </c>
      <c r="C376" s="100" t="s">
        <v>258</v>
      </c>
      <c r="D376" s="56">
        <v>1100</v>
      </c>
      <c r="E376" s="56" t="s">
        <v>596</v>
      </c>
      <c r="F376" s="56">
        <v>6066</v>
      </c>
      <c r="G376" s="56" t="s">
        <v>282</v>
      </c>
      <c r="H376" s="56">
        <v>6165</v>
      </c>
      <c r="I376" s="56" t="s">
        <v>635</v>
      </c>
      <c r="J376" s="108">
        <v>4</v>
      </c>
      <c r="K376" s="107">
        <v>107</v>
      </c>
      <c r="L376" s="79" t="s">
        <v>659</v>
      </c>
    </row>
    <row r="377" spans="1:12" ht="13.5" customHeight="1">
      <c r="A377" s="91">
        <v>10706166</v>
      </c>
      <c r="B377" s="99" t="s">
        <v>1522</v>
      </c>
      <c r="C377" s="100" t="s">
        <v>258</v>
      </c>
      <c r="D377" s="56">
        <v>1100</v>
      </c>
      <c r="E377" s="56" t="s">
        <v>596</v>
      </c>
      <c r="F377" s="56">
        <v>6166</v>
      </c>
      <c r="G377" s="56" t="s">
        <v>282</v>
      </c>
      <c r="H377" s="56">
        <v>6265</v>
      </c>
      <c r="I377" s="56" t="s">
        <v>636</v>
      </c>
      <c r="J377" s="108">
        <v>4</v>
      </c>
      <c r="K377" s="107">
        <v>107</v>
      </c>
      <c r="L377" s="79" t="s">
        <v>659</v>
      </c>
    </row>
    <row r="378" spans="1:12" ht="13.5" customHeight="1">
      <c r="A378" s="91">
        <v>10706266</v>
      </c>
      <c r="B378" s="99" t="s">
        <v>1523</v>
      </c>
      <c r="C378" s="100" t="s">
        <v>258</v>
      </c>
      <c r="D378" s="56">
        <v>1100</v>
      </c>
      <c r="E378" s="56" t="s">
        <v>596</v>
      </c>
      <c r="F378" s="56">
        <v>6266</v>
      </c>
      <c r="G378" s="56" t="s">
        <v>282</v>
      </c>
      <c r="H378" s="56">
        <v>6365</v>
      </c>
      <c r="I378" s="56" t="s">
        <v>637</v>
      </c>
      <c r="J378" s="108">
        <v>4</v>
      </c>
      <c r="K378" s="107">
        <v>107</v>
      </c>
      <c r="L378" s="79" t="s">
        <v>659</v>
      </c>
    </row>
    <row r="379" spans="1:12" ht="13.5" customHeight="1">
      <c r="A379" s="91">
        <v>10706366</v>
      </c>
      <c r="B379" s="99" t="s">
        <v>1524</v>
      </c>
      <c r="C379" s="100" t="s">
        <v>258</v>
      </c>
      <c r="D379" s="56">
        <v>1100</v>
      </c>
      <c r="E379" s="56" t="s">
        <v>596</v>
      </c>
      <c r="F379" s="56">
        <v>6366</v>
      </c>
      <c r="G379" s="56" t="s">
        <v>282</v>
      </c>
      <c r="H379" s="56">
        <v>6465</v>
      </c>
      <c r="I379" s="56" t="s">
        <v>638</v>
      </c>
      <c r="J379" s="108">
        <v>4</v>
      </c>
      <c r="K379" s="107">
        <v>107</v>
      </c>
      <c r="L379" s="79" t="s">
        <v>659</v>
      </c>
    </row>
    <row r="380" spans="1:12" ht="13.5" customHeight="1">
      <c r="A380" s="91">
        <v>10706466</v>
      </c>
      <c r="B380" s="99" t="s">
        <v>1525</v>
      </c>
      <c r="C380" s="100" t="s">
        <v>258</v>
      </c>
      <c r="D380" s="56">
        <v>1100</v>
      </c>
      <c r="E380" s="56" t="s">
        <v>596</v>
      </c>
      <c r="F380" s="56">
        <v>6466</v>
      </c>
      <c r="G380" s="56" t="s">
        <v>282</v>
      </c>
      <c r="H380" s="56">
        <v>6565</v>
      </c>
      <c r="I380" s="56" t="s">
        <v>639</v>
      </c>
      <c r="J380" s="108">
        <v>4</v>
      </c>
      <c r="K380" s="107">
        <v>107</v>
      </c>
      <c r="L380" s="79" t="s">
        <v>659</v>
      </c>
    </row>
    <row r="381" spans="1:12" ht="13.5" customHeight="1">
      <c r="A381" s="91">
        <v>10706566</v>
      </c>
      <c r="B381" s="99" t="s">
        <v>1526</v>
      </c>
      <c r="C381" s="100" t="s">
        <v>258</v>
      </c>
      <c r="D381" s="56">
        <v>1100</v>
      </c>
      <c r="E381" s="56" t="s">
        <v>596</v>
      </c>
      <c r="F381" s="56">
        <v>6566</v>
      </c>
      <c r="G381" s="56" t="s">
        <v>282</v>
      </c>
      <c r="H381" s="56">
        <v>6665</v>
      </c>
      <c r="I381" s="56" t="s">
        <v>640</v>
      </c>
      <c r="J381" s="108">
        <v>4</v>
      </c>
      <c r="K381" s="107">
        <v>107</v>
      </c>
      <c r="L381" s="79" t="s">
        <v>659</v>
      </c>
    </row>
    <row r="382" spans="1:12" ht="13.5" customHeight="1">
      <c r="A382" s="91">
        <v>10706666</v>
      </c>
      <c r="B382" s="99" t="s">
        <v>1527</v>
      </c>
      <c r="C382" s="100" t="s">
        <v>258</v>
      </c>
      <c r="D382" s="56">
        <v>1100</v>
      </c>
      <c r="E382" s="56" t="s">
        <v>596</v>
      </c>
      <c r="F382" s="56">
        <v>6666</v>
      </c>
      <c r="G382" s="56" t="s">
        <v>282</v>
      </c>
      <c r="H382" s="56">
        <v>6765</v>
      </c>
      <c r="I382" s="56" t="s">
        <v>641</v>
      </c>
      <c r="J382" s="108">
        <v>4</v>
      </c>
      <c r="K382" s="107">
        <v>107</v>
      </c>
      <c r="L382" s="79" t="s">
        <v>659</v>
      </c>
    </row>
    <row r="383" spans="1:12" ht="13.5" customHeight="1">
      <c r="A383" s="91">
        <v>10706766</v>
      </c>
      <c r="B383" s="99" t="s">
        <v>1528</v>
      </c>
      <c r="C383" s="100" t="s">
        <v>258</v>
      </c>
      <c r="D383" s="56">
        <v>1100</v>
      </c>
      <c r="E383" s="56" t="s">
        <v>596</v>
      </c>
      <c r="F383" s="56">
        <v>6766</v>
      </c>
      <c r="G383" s="56" t="s">
        <v>282</v>
      </c>
      <c r="H383" s="56">
        <v>6865</v>
      </c>
      <c r="I383" s="56" t="s">
        <v>642</v>
      </c>
      <c r="J383" s="108">
        <v>4</v>
      </c>
      <c r="K383" s="107">
        <v>107</v>
      </c>
      <c r="L383" s="79" t="s">
        <v>659</v>
      </c>
    </row>
    <row r="384" spans="1:12" ht="13.5" customHeight="1">
      <c r="A384" s="91">
        <v>10706866</v>
      </c>
      <c r="B384" s="99" t="s">
        <v>1529</v>
      </c>
      <c r="C384" s="100" t="s">
        <v>258</v>
      </c>
      <c r="D384" s="56">
        <v>1100</v>
      </c>
      <c r="E384" s="56" t="s">
        <v>596</v>
      </c>
      <c r="F384" s="56">
        <v>6866</v>
      </c>
      <c r="G384" s="56" t="s">
        <v>282</v>
      </c>
      <c r="H384" s="56">
        <v>6965</v>
      </c>
      <c r="I384" s="56" t="s">
        <v>643</v>
      </c>
      <c r="J384" s="108">
        <v>5</v>
      </c>
      <c r="K384" s="107">
        <v>107</v>
      </c>
      <c r="L384" s="79" t="s">
        <v>659</v>
      </c>
    </row>
    <row r="385" spans="1:12" ht="13.5" customHeight="1">
      <c r="A385" s="91">
        <v>10706966</v>
      </c>
      <c r="B385" s="99" t="s">
        <v>1530</v>
      </c>
      <c r="C385" s="100" t="s">
        <v>258</v>
      </c>
      <c r="D385" s="56">
        <v>1100</v>
      </c>
      <c r="E385" s="56" t="s">
        <v>596</v>
      </c>
      <c r="F385" s="56">
        <v>6966</v>
      </c>
      <c r="G385" s="56" t="s">
        <v>282</v>
      </c>
      <c r="H385" s="56">
        <v>7065</v>
      </c>
      <c r="I385" s="56" t="s">
        <v>644</v>
      </c>
      <c r="J385" s="108">
        <v>5</v>
      </c>
      <c r="K385" s="107">
        <v>107</v>
      </c>
      <c r="L385" s="79" t="s">
        <v>659</v>
      </c>
    </row>
    <row r="386" spans="1:12" ht="13.5" customHeight="1">
      <c r="A386" s="91">
        <v>10707066</v>
      </c>
      <c r="B386" s="99" t="s">
        <v>1531</v>
      </c>
      <c r="C386" s="100" t="s">
        <v>258</v>
      </c>
      <c r="D386" s="56">
        <v>1100</v>
      </c>
      <c r="E386" s="56" t="s">
        <v>596</v>
      </c>
      <c r="F386" s="56">
        <v>7066</v>
      </c>
      <c r="G386" s="56" t="s">
        <v>282</v>
      </c>
      <c r="H386" s="56">
        <v>7165</v>
      </c>
      <c r="I386" s="56" t="s">
        <v>645</v>
      </c>
      <c r="J386" s="108">
        <v>5</v>
      </c>
      <c r="K386" s="107">
        <v>107</v>
      </c>
      <c r="L386" s="79" t="s">
        <v>659</v>
      </c>
    </row>
    <row r="387" spans="1:12" ht="13.5" customHeight="1">
      <c r="A387" s="91">
        <v>10707166</v>
      </c>
      <c r="B387" s="99" t="s">
        <v>1532</v>
      </c>
      <c r="C387" s="100" t="s">
        <v>258</v>
      </c>
      <c r="D387" s="56">
        <v>1100</v>
      </c>
      <c r="E387" s="56" t="s">
        <v>596</v>
      </c>
      <c r="F387" s="56">
        <v>7166</v>
      </c>
      <c r="G387" s="56" t="s">
        <v>282</v>
      </c>
      <c r="H387" s="56">
        <v>7265</v>
      </c>
      <c r="I387" s="56" t="s">
        <v>646</v>
      </c>
      <c r="J387" s="108">
        <v>5</v>
      </c>
      <c r="K387" s="107">
        <v>107</v>
      </c>
      <c r="L387" s="79" t="s">
        <v>659</v>
      </c>
    </row>
    <row r="388" spans="1:12" ht="13.5" customHeight="1">
      <c r="A388" s="91">
        <v>10707266</v>
      </c>
      <c r="B388" s="99" t="s">
        <v>1533</v>
      </c>
      <c r="C388" s="100" t="s">
        <v>258</v>
      </c>
      <c r="D388" s="56">
        <v>1100</v>
      </c>
      <c r="E388" s="56" t="s">
        <v>596</v>
      </c>
      <c r="F388" s="56">
        <v>7266</v>
      </c>
      <c r="G388" s="56" t="s">
        <v>282</v>
      </c>
      <c r="H388" s="56">
        <v>7365</v>
      </c>
      <c r="I388" s="56" t="s">
        <v>647</v>
      </c>
      <c r="J388" s="108">
        <v>5</v>
      </c>
      <c r="K388" s="107">
        <v>107</v>
      </c>
      <c r="L388" s="79" t="s">
        <v>659</v>
      </c>
    </row>
    <row r="389" spans="1:12" ht="13.5" customHeight="1">
      <c r="A389" s="91">
        <v>10707366</v>
      </c>
      <c r="B389" s="99" t="s">
        <v>1534</v>
      </c>
      <c r="C389" s="100" t="s">
        <v>258</v>
      </c>
      <c r="D389" s="56">
        <v>1100</v>
      </c>
      <c r="E389" s="56" t="s">
        <v>596</v>
      </c>
      <c r="F389" s="56">
        <v>7366</v>
      </c>
      <c r="G389" s="56" t="s">
        <v>282</v>
      </c>
      <c r="H389" s="56">
        <v>7465</v>
      </c>
      <c r="I389" s="56" t="s">
        <v>648</v>
      </c>
      <c r="J389" s="108">
        <v>5</v>
      </c>
      <c r="K389" s="107">
        <v>107</v>
      </c>
      <c r="L389" s="79" t="s">
        <v>659</v>
      </c>
    </row>
    <row r="390" spans="1:12" ht="13.5" customHeight="1">
      <c r="A390" s="91">
        <v>10707466</v>
      </c>
      <c r="B390" s="99" t="s">
        <v>1535</v>
      </c>
      <c r="C390" s="100" t="s">
        <v>258</v>
      </c>
      <c r="D390" s="56">
        <v>1100</v>
      </c>
      <c r="E390" s="56" t="s">
        <v>596</v>
      </c>
      <c r="F390" s="56">
        <v>7466</v>
      </c>
      <c r="G390" s="56" t="s">
        <v>282</v>
      </c>
      <c r="H390" s="56">
        <v>7565</v>
      </c>
      <c r="I390" s="56" t="s">
        <v>649</v>
      </c>
      <c r="J390" s="108">
        <v>5</v>
      </c>
      <c r="K390" s="107">
        <v>107</v>
      </c>
      <c r="L390" s="79" t="s">
        <v>659</v>
      </c>
    </row>
    <row r="391" spans="1:12" ht="13.5" customHeight="1">
      <c r="A391" s="91">
        <v>10707566</v>
      </c>
      <c r="B391" s="99" t="s">
        <v>1536</v>
      </c>
      <c r="C391" s="100" t="s">
        <v>258</v>
      </c>
      <c r="D391" s="56">
        <v>1100</v>
      </c>
      <c r="E391" s="56" t="s">
        <v>596</v>
      </c>
      <c r="F391" s="56">
        <v>7566</v>
      </c>
      <c r="G391" s="56" t="s">
        <v>282</v>
      </c>
      <c r="H391" s="56">
        <v>7665</v>
      </c>
      <c r="I391" s="56" t="s">
        <v>650</v>
      </c>
      <c r="J391" s="108">
        <v>5</v>
      </c>
      <c r="K391" s="107">
        <v>107</v>
      </c>
      <c r="L391" s="79" t="s">
        <v>659</v>
      </c>
    </row>
    <row r="392" spans="1:12" ht="13.5" customHeight="1">
      <c r="A392" s="91">
        <v>10707666</v>
      </c>
      <c r="B392" s="99" t="s">
        <v>1537</v>
      </c>
      <c r="C392" s="100" t="s">
        <v>258</v>
      </c>
      <c r="D392" s="56">
        <v>1100</v>
      </c>
      <c r="E392" s="56" t="s">
        <v>596</v>
      </c>
      <c r="F392" s="56">
        <v>7666</v>
      </c>
      <c r="G392" s="56" t="s">
        <v>282</v>
      </c>
      <c r="H392" s="56">
        <v>7765</v>
      </c>
      <c r="I392" s="56" t="s">
        <v>651</v>
      </c>
      <c r="J392" s="108">
        <v>6</v>
      </c>
      <c r="K392" s="107">
        <v>107</v>
      </c>
      <c r="L392" s="79" t="s">
        <v>659</v>
      </c>
    </row>
    <row r="393" spans="1:12" ht="13.5" customHeight="1">
      <c r="A393" s="91">
        <v>10707766</v>
      </c>
      <c r="B393" s="99" t="s">
        <v>1538</v>
      </c>
      <c r="C393" s="100" t="s">
        <v>258</v>
      </c>
      <c r="D393" s="56">
        <v>1100</v>
      </c>
      <c r="E393" s="56" t="s">
        <v>596</v>
      </c>
      <c r="F393" s="56">
        <v>7766</v>
      </c>
      <c r="G393" s="56" t="s">
        <v>282</v>
      </c>
      <c r="H393" s="56">
        <v>7865</v>
      </c>
      <c r="I393" s="56" t="s">
        <v>652</v>
      </c>
      <c r="J393" s="108">
        <v>6</v>
      </c>
      <c r="K393" s="107">
        <v>107</v>
      </c>
      <c r="L393" s="79" t="s">
        <v>659</v>
      </c>
    </row>
    <row r="394" spans="1:12" ht="13.5" customHeight="1">
      <c r="A394" s="91">
        <v>10707866</v>
      </c>
      <c r="B394" s="99" t="s">
        <v>1539</v>
      </c>
      <c r="C394" s="100" t="s">
        <v>258</v>
      </c>
      <c r="D394" s="56">
        <v>1100</v>
      </c>
      <c r="E394" s="56" t="s">
        <v>596</v>
      </c>
      <c r="F394" s="56">
        <v>7866</v>
      </c>
      <c r="G394" s="56" t="s">
        <v>282</v>
      </c>
      <c r="H394" s="56">
        <v>7965</v>
      </c>
      <c r="I394" s="56" t="s">
        <v>653</v>
      </c>
      <c r="J394" s="108">
        <v>6</v>
      </c>
      <c r="K394" s="107">
        <v>107</v>
      </c>
      <c r="L394" s="79" t="s">
        <v>659</v>
      </c>
    </row>
    <row r="395" spans="1:12" ht="13.5" customHeight="1">
      <c r="A395" s="91">
        <v>10707966</v>
      </c>
      <c r="B395" s="102" t="s">
        <v>1540</v>
      </c>
      <c r="C395" s="103" t="s">
        <v>258</v>
      </c>
      <c r="D395" s="105">
        <v>1100</v>
      </c>
      <c r="E395" s="105" t="s">
        <v>596</v>
      </c>
      <c r="F395" s="105">
        <v>7966</v>
      </c>
      <c r="G395" s="105" t="s">
        <v>282</v>
      </c>
      <c r="H395" s="105">
        <v>8065</v>
      </c>
      <c r="I395" s="105" t="s">
        <v>654</v>
      </c>
      <c r="J395" s="109">
        <v>6</v>
      </c>
      <c r="K395" s="107">
        <v>107</v>
      </c>
      <c r="L395" s="79" t="s">
        <v>659</v>
      </c>
    </row>
    <row r="396" spans="1:12" ht="13.5" customHeight="1">
      <c r="A396" s="91">
        <v>10800000</v>
      </c>
      <c r="B396" s="92" t="s">
        <v>1541</v>
      </c>
      <c r="C396" s="93" t="s">
        <v>258</v>
      </c>
      <c r="D396" s="94">
        <v>1100</v>
      </c>
      <c r="E396" s="94" t="s">
        <v>264</v>
      </c>
      <c r="F396" s="94">
        <v>0</v>
      </c>
      <c r="G396" s="94" t="s">
        <v>282</v>
      </c>
      <c r="H396" s="94">
        <v>2630</v>
      </c>
      <c r="I396" s="94" t="s">
        <v>597</v>
      </c>
      <c r="J396" s="110">
        <v>0</v>
      </c>
      <c r="K396" s="107">
        <v>108</v>
      </c>
      <c r="L396" s="79" t="s">
        <v>659</v>
      </c>
    </row>
    <row r="397" spans="1:12" ht="13.5" customHeight="1">
      <c r="A397" s="91">
        <v>10802631</v>
      </c>
      <c r="B397" s="99" t="s">
        <v>1542</v>
      </c>
      <c r="C397" s="100" t="s">
        <v>258</v>
      </c>
      <c r="D397" s="56">
        <v>1100</v>
      </c>
      <c r="E397" s="56" t="s">
        <v>264</v>
      </c>
      <c r="F397" s="56">
        <v>2631</v>
      </c>
      <c r="G397" s="56" t="s">
        <v>282</v>
      </c>
      <c r="H397" s="56">
        <v>2700</v>
      </c>
      <c r="I397" s="56" t="s">
        <v>599</v>
      </c>
      <c r="J397" s="108">
        <v>0</v>
      </c>
      <c r="K397" s="107">
        <v>108</v>
      </c>
      <c r="L397" s="79" t="s">
        <v>659</v>
      </c>
    </row>
    <row r="398" spans="1:12" ht="13.5" customHeight="1">
      <c r="A398" s="91">
        <v>10802701</v>
      </c>
      <c r="B398" s="99" t="s">
        <v>1543</v>
      </c>
      <c r="C398" s="100" t="s">
        <v>258</v>
      </c>
      <c r="D398" s="56">
        <v>1100</v>
      </c>
      <c r="E398" s="56" t="s">
        <v>264</v>
      </c>
      <c r="F398" s="56">
        <v>2701</v>
      </c>
      <c r="G398" s="56" t="s">
        <v>282</v>
      </c>
      <c r="H398" s="56">
        <v>2750</v>
      </c>
      <c r="I398" s="56" t="s">
        <v>600</v>
      </c>
      <c r="J398" s="108">
        <v>0</v>
      </c>
      <c r="K398" s="107">
        <v>108</v>
      </c>
      <c r="L398" s="79" t="s">
        <v>659</v>
      </c>
    </row>
    <row r="399" spans="1:12" ht="13.5" customHeight="1">
      <c r="A399" s="91">
        <v>10802751</v>
      </c>
      <c r="B399" s="99" t="s">
        <v>1544</v>
      </c>
      <c r="C399" s="100" t="s">
        <v>258</v>
      </c>
      <c r="D399" s="56">
        <v>1100</v>
      </c>
      <c r="E399" s="56" t="s">
        <v>264</v>
      </c>
      <c r="F399" s="56">
        <v>2751</v>
      </c>
      <c r="G399" s="56" t="s">
        <v>282</v>
      </c>
      <c r="H399" s="56">
        <v>2850</v>
      </c>
      <c r="I399" s="56" t="s">
        <v>602</v>
      </c>
      <c r="J399" s="108">
        <v>0</v>
      </c>
      <c r="K399" s="107">
        <v>108</v>
      </c>
      <c r="L399" s="79" t="s">
        <v>659</v>
      </c>
    </row>
    <row r="400" spans="1:12" ht="13.5" customHeight="1">
      <c r="A400" s="91">
        <v>10802851</v>
      </c>
      <c r="B400" s="99" t="s">
        <v>1545</v>
      </c>
      <c r="C400" s="100" t="s">
        <v>258</v>
      </c>
      <c r="D400" s="56">
        <v>1100</v>
      </c>
      <c r="E400" s="56" t="s">
        <v>264</v>
      </c>
      <c r="F400" s="56">
        <v>2851</v>
      </c>
      <c r="G400" s="56" t="s">
        <v>282</v>
      </c>
      <c r="H400" s="56">
        <v>2950</v>
      </c>
      <c r="I400" s="56" t="s">
        <v>603</v>
      </c>
      <c r="J400" s="108">
        <v>0</v>
      </c>
      <c r="K400" s="107">
        <v>108</v>
      </c>
      <c r="L400" s="79" t="s">
        <v>659</v>
      </c>
    </row>
    <row r="401" spans="1:12" ht="13.5" customHeight="1">
      <c r="A401" s="91">
        <v>10802951</v>
      </c>
      <c r="B401" s="99" t="s">
        <v>1546</v>
      </c>
      <c r="C401" s="100" t="s">
        <v>258</v>
      </c>
      <c r="D401" s="56">
        <v>1100</v>
      </c>
      <c r="E401" s="56" t="s">
        <v>264</v>
      </c>
      <c r="F401" s="56">
        <v>2951</v>
      </c>
      <c r="G401" s="56" t="s">
        <v>282</v>
      </c>
      <c r="H401" s="56">
        <v>3050</v>
      </c>
      <c r="I401" s="56" t="s">
        <v>604</v>
      </c>
      <c r="J401" s="108">
        <v>0</v>
      </c>
      <c r="K401" s="107">
        <v>108</v>
      </c>
      <c r="L401" s="79" t="s">
        <v>659</v>
      </c>
    </row>
    <row r="402" spans="1:12" ht="14.25" customHeight="1">
      <c r="A402" s="91">
        <v>10803051</v>
      </c>
      <c r="B402" s="99" t="s">
        <v>1547</v>
      </c>
      <c r="C402" s="100" t="s">
        <v>258</v>
      </c>
      <c r="D402" s="56">
        <v>1100</v>
      </c>
      <c r="E402" s="56" t="s">
        <v>264</v>
      </c>
      <c r="F402" s="56">
        <v>3051</v>
      </c>
      <c r="G402" s="56" t="s">
        <v>282</v>
      </c>
      <c r="H402" s="56">
        <v>3150</v>
      </c>
      <c r="I402" s="56" t="s">
        <v>605</v>
      </c>
      <c r="J402" s="108">
        <v>0</v>
      </c>
      <c r="K402" s="107">
        <v>108</v>
      </c>
      <c r="L402" s="79" t="s">
        <v>659</v>
      </c>
    </row>
    <row r="403" spans="1:12" ht="13.5" customHeight="1">
      <c r="A403" s="91">
        <v>10803151</v>
      </c>
      <c r="B403" s="99" t="s">
        <v>1548</v>
      </c>
      <c r="C403" s="100" t="s">
        <v>258</v>
      </c>
      <c r="D403" s="56">
        <v>1100</v>
      </c>
      <c r="E403" s="56" t="s">
        <v>264</v>
      </c>
      <c r="F403" s="56">
        <v>3151</v>
      </c>
      <c r="G403" s="56" t="s">
        <v>282</v>
      </c>
      <c r="H403" s="56">
        <v>3250</v>
      </c>
      <c r="I403" s="56" t="s">
        <v>606</v>
      </c>
      <c r="J403" s="108">
        <v>0</v>
      </c>
      <c r="K403" s="107">
        <v>108</v>
      </c>
      <c r="L403" s="79" t="s">
        <v>659</v>
      </c>
    </row>
    <row r="404" spans="1:12" ht="13.5" customHeight="1">
      <c r="A404" s="91">
        <v>10803251</v>
      </c>
      <c r="B404" s="99" t="s">
        <v>1549</v>
      </c>
      <c r="C404" s="100" t="s">
        <v>258</v>
      </c>
      <c r="D404" s="56">
        <v>1100</v>
      </c>
      <c r="E404" s="56" t="s">
        <v>264</v>
      </c>
      <c r="F404" s="56">
        <v>3251</v>
      </c>
      <c r="G404" s="56" t="s">
        <v>282</v>
      </c>
      <c r="H404" s="56">
        <v>3350</v>
      </c>
      <c r="I404" s="56" t="s">
        <v>607</v>
      </c>
      <c r="J404" s="108">
        <v>0</v>
      </c>
      <c r="K404" s="107">
        <v>108</v>
      </c>
      <c r="L404" s="79" t="s">
        <v>659</v>
      </c>
    </row>
    <row r="405" spans="1:12" ht="13.5" customHeight="1">
      <c r="A405" s="91">
        <v>10803351</v>
      </c>
      <c r="B405" s="99" t="s">
        <v>1550</v>
      </c>
      <c r="C405" s="100" t="s">
        <v>258</v>
      </c>
      <c r="D405" s="56">
        <v>1100</v>
      </c>
      <c r="E405" s="56" t="s">
        <v>264</v>
      </c>
      <c r="F405" s="56">
        <v>3351</v>
      </c>
      <c r="G405" s="56" t="s">
        <v>282</v>
      </c>
      <c r="H405" s="56">
        <v>3450</v>
      </c>
      <c r="I405" s="56" t="s">
        <v>608</v>
      </c>
      <c r="J405" s="108">
        <v>0</v>
      </c>
      <c r="K405" s="107">
        <v>108</v>
      </c>
      <c r="L405" s="79" t="s">
        <v>659</v>
      </c>
    </row>
    <row r="406" spans="1:12" ht="13.5" customHeight="1">
      <c r="A406" s="91">
        <v>10803451</v>
      </c>
      <c r="B406" s="99" t="s">
        <v>1551</v>
      </c>
      <c r="C406" s="100" t="s">
        <v>258</v>
      </c>
      <c r="D406" s="56">
        <v>1100</v>
      </c>
      <c r="E406" s="56" t="s">
        <v>264</v>
      </c>
      <c r="F406" s="56">
        <v>3451</v>
      </c>
      <c r="G406" s="56" t="s">
        <v>282</v>
      </c>
      <c r="H406" s="56">
        <v>3550</v>
      </c>
      <c r="I406" s="56" t="s">
        <v>609</v>
      </c>
      <c r="J406" s="108">
        <v>0</v>
      </c>
      <c r="K406" s="107">
        <v>108</v>
      </c>
      <c r="L406" s="79" t="s">
        <v>659</v>
      </c>
    </row>
    <row r="407" spans="1:12" ht="13.5" customHeight="1">
      <c r="A407" s="91">
        <v>10803551</v>
      </c>
      <c r="B407" s="99" t="s">
        <v>1552</v>
      </c>
      <c r="C407" s="100" t="s">
        <v>258</v>
      </c>
      <c r="D407" s="56">
        <v>1100</v>
      </c>
      <c r="E407" s="56" t="s">
        <v>264</v>
      </c>
      <c r="F407" s="56">
        <v>3551</v>
      </c>
      <c r="G407" s="56" t="s">
        <v>282</v>
      </c>
      <c r="H407" s="56">
        <v>3650</v>
      </c>
      <c r="I407" s="56" t="s">
        <v>610</v>
      </c>
      <c r="J407" s="108">
        <v>0</v>
      </c>
      <c r="K407" s="107">
        <v>108</v>
      </c>
      <c r="L407" s="79" t="s">
        <v>659</v>
      </c>
    </row>
    <row r="408" spans="1:12" ht="13.5" customHeight="1">
      <c r="A408" s="91">
        <v>10803651</v>
      </c>
      <c r="B408" s="99" t="s">
        <v>1553</v>
      </c>
      <c r="C408" s="100" t="s">
        <v>258</v>
      </c>
      <c r="D408" s="56">
        <v>1100</v>
      </c>
      <c r="E408" s="56" t="s">
        <v>264</v>
      </c>
      <c r="F408" s="56">
        <v>3651</v>
      </c>
      <c r="G408" s="56" t="s">
        <v>282</v>
      </c>
      <c r="H408" s="56">
        <v>3750</v>
      </c>
      <c r="I408" s="56" t="s">
        <v>611</v>
      </c>
      <c r="J408" s="108">
        <v>1</v>
      </c>
      <c r="K408" s="107">
        <v>108</v>
      </c>
      <c r="L408" s="79" t="s">
        <v>659</v>
      </c>
    </row>
    <row r="409" spans="1:12" ht="13.5" customHeight="1">
      <c r="A409" s="91">
        <v>10803751</v>
      </c>
      <c r="B409" s="99" t="s">
        <v>1554</v>
      </c>
      <c r="C409" s="100" t="s">
        <v>258</v>
      </c>
      <c r="D409" s="56">
        <v>1100</v>
      </c>
      <c r="E409" s="56" t="s">
        <v>264</v>
      </c>
      <c r="F409" s="56">
        <v>3751</v>
      </c>
      <c r="G409" s="56" t="s">
        <v>282</v>
      </c>
      <c r="H409" s="56">
        <v>3850</v>
      </c>
      <c r="I409" s="56" t="s">
        <v>612</v>
      </c>
      <c r="J409" s="108">
        <v>1</v>
      </c>
      <c r="K409" s="107">
        <v>108</v>
      </c>
      <c r="L409" s="79" t="s">
        <v>659</v>
      </c>
    </row>
    <row r="410" spans="1:12" ht="13.5" customHeight="1">
      <c r="A410" s="91">
        <v>10803851</v>
      </c>
      <c r="B410" s="99" t="s">
        <v>1555</v>
      </c>
      <c r="C410" s="100" t="s">
        <v>258</v>
      </c>
      <c r="D410" s="56">
        <v>1100</v>
      </c>
      <c r="E410" s="56" t="s">
        <v>264</v>
      </c>
      <c r="F410" s="56">
        <v>3851</v>
      </c>
      <c r="G410" s="56" t="s">
        <v>282</v>
      </c>
      <c r="H410" s="56">
        <v>3950</v>
      </c>
      <c r="I410" s="56" t="s">
        <v>613</v>
      </c>
      <c r="J410" s="108">
        <v>1</v>
      </c>
      <c r="K410" s="107">
        <v>108</v>
      </c>
      <c r="L410" s="79" t="s">
        <v>659</v>
      </c>
    </row>
    <row r="411" spans="1:12" ht="13.5" customHeight="1">
      <c r="A411" s="91">
        <v>10803951</v>
      </c>
      <c r="B411" s="99" t="s">
        <v>1556</v>
      </c>
      <c r="C411" s="100" t="s">
        <v>258</v>
      </c>
      <c r="D411" s="56">
        <v>1100</v>
      </c>
      <c r="E411" s="56" t="s">
        <v>264</v>
      </c>
      <c r="F411" s="56">
        <v>3951</v>
      </c>
      <c r="G411" s="56" t="s">
        <v>282</v>
      </c>
      <c r="H411" s="56">
        <v>4050</v>
      </c>
      <c r="I411" s="56" t="s">
        <v>614</v>
      </c>
      <c r="J411" s="108">
        <v>1</v>
      </c>
      <c r="K411" s="107">
        <v>108</v>
      </c>
      <c r="L411" s="79" t="s">
        <v>659</v>
      </c>
    </row>
    <row r="412" spans="1:12" ht="13.5" customHeight="1">
      <c r="A412" s="91">
        <v>10804051</v>
      </c>
      <c r="B412" s="99" t="s">
        <v>1557</v>
      </c>
      <c r="C412" s="100" t="s">
        <v>258</v>
      </c>
      <c r="D412" s="56">
        <v>1100</v>
      </c>
      <c r="E412" s="56" t="s">
        <v>264</v>
      </c>
      <c r="F412" s="56">
        <v>4051</v>
      </c>
      <c r="G412" s="56" t="s">
        <v>282</v>
      </c>
      <c r="H412" s="56">
        <v>4150</v>
      </c>
      <c r="I412" s="56" t="s">
        <v>615</v>
      </c>
      <c r="J412" s="108">
        <v>1</v>
      </c>
      <c r="K412" s="107">
        <v>108</v>
      </c>
      <c r="L412" s="79" t="s">
        <v>659</v>
      </c>
    </row>
    <row r="413" spans="1:12" ht="13.5" customHeight="1">
      <c r="A413" s="91">
        <v>10804151</v>
      </c>
      <c r="B413" s="99" t="s">
        <v>1558</v>
      </c>
      <c r="C413" s="100" t="s">
        <v>258</v>
      </c>
      <c r="D413" s="56">
        <v>1100</v>
      </c>
      <c r="E413" s="56" t="s">
        <v>264</v>
      </c>
      <c r="F413" s="56">
        <v>4151</v>
      </c>
      <c r="G413" s="56" t="s">
        <v>282</v>
      </c>
      <c r="H413" s="56">
        <v>4250</v>
      </c>
      <c r="I413" s="56" t="s">
        <v>616</v>
      </c>
      <c r="J413" s="108">
        <v>1</v>
      </c>
      <c r="K413" s="107">
        <v>108</v>
      </c>
      <c r="L413" s="79" t="s">
        <v>659</v>
      </c>
    </row>
    <row r="414" spans="1:12" ht="13.5" customHeight="1">
      <c r="A414" s="91">
        <v>10804251</v>
      </c>
      <c r="B414" s="99" t="s">
        <v>1559</v>
      </c>
      <c r="C414" s="100" t="s">
        <v>258</v>
      </c>
      <c r="D414" s="56">
        <v>1100</v>
      </c>
      <c r="E414" s="56" t="s">
        <v>264</v>
      </c>
      <c r="F414" s="56">
        <v>4251</v>
      </c>
      <c r="G414" s="56" t="s">
        <v>282</v>
      </c>
      <c r="H414" s="56">
        <v>4350</v>
      </c>
      <c r="I414" s="56" t="s">
        <v>617</v>
      </c>
      <c r="J414" s="108">
        <v>1</v>
      </c>
      <c r="K414" s="107">
        <v>108</v>
      </c>
      <c r="L414" s="79" t="s">
        <v>659</v>
      </c>
    </row>
    <row r="415" spans="1:12" ht="13.5" customHeight="1">
      <c r="A415" s="91">
        <v>10804351</v>
      </c>
      <c r="B415" s="99" t="s">
        <v>1560</v>
      </c>
      <c r="C415" s="100" t="s">
        <v>258</v>
      </c>
      <c r="D415" s="56">
        <v>1100</v>
      </c>
      <c r="E415" s="56" t="s">
        <v>264</v>
      </c>
      <c r="F415" s="56">
        <v>4351</v>
      </c>
      <c r="G415" s="56" t="s">
        <v>282</v>
      </c>
      <c r="H415" s="56">
        <v>4450</v>
      </c>
      <c r="I415" s="56" t="s">
        <v>618</v>
      </c>
      <c r="J415" s="108">
        <v>1</v>
      </c>
      <c r="K415" s="107">
        <v>108</v>
      </c>
      <c r="L415" s="79" t="s">
        <v>659</v>
      </c>
    </row>
    <row r="416" spans="1:12" ht="13.5" customHeight="1">
      <c r="A416" s="91">
        <v>10804451</v>
      </c>
      <c r="B416" s="99" t="s">
        <v>1561</v>
      </c>
      <c r="C416" s="100" t="s">
        <v>258</v>
      </c>
      <c r="D416" s="56">
        <v>1100</v>
      </c>
      <c r="E416" s="56" t="s">
        <v>264</v>
      </c>
      <c r="F416" s="56">
        <v>4451</v>
      </c>
      <c r="G416" s="56" t="s">
        <v>282</v>
      </c>
      <c r="H416" s="56">
        <v>4550</v>
      </c>
      <c r="I416" s="56" t="s">
        <v>619</v>
      </c>
      <c r="J416" s="108">
        <v>2</v>
      </c>
      <c r="K416" s="107">
        <v>108</v>
      </c>
      <c r="L416" s="79" t="s">
        <v>659</v>
      </c>
    </row>
    <row r="417" spans="1:12" ht="13.5" customHeight="1">
      <c r="A417" s="91">
        <v>10804551</v>
      </c>
      <c r="B417" s="99" t="s">
        <v>1562</v>
      </c>
      <c r="C417" s="100" t="s">
        <v>258</v>
      </c>
      <c r="D417" s="56">
        <v>1100</v>
      </c>
      <c r="E417" s="56" t="s">
        <v>264</v>
      </c>
      <c r="F417" s="56">
        <v>4551</v>
      </c>
      <c r="G417" s="56" t="s">
        <v>282</v>
      </c>
      <c r="H417" s="56">
        <v>4650</v>
      </c>
      <c r="I417" s="56" t="s">
        <v>620</v>
      </c>
      <c r="J417" s="108">
        <v>2</v>
      </c>
      <c r="K417" s="107">
        <v>108</v>
      </c>
      <c r="L417" s="79" t="s">
        <v>659</v>
      </c>
    </row>
    <row r="418" spans="1:12" ht="13.5" customHeight="1">
      <c r="A418" s="91">
        <v>10804651</v>
      </c>
      <c r="B418" s="99" t="s">
        <v>1563</v>
      </c>
      <c r="C418" s="100" t="s">
        <v>258</v>
      </c>
      <c r="D418" s="56">
        <v>1100</v>
      </c>
      <c r="E418" s="56" t="s">
        <v>264</v>
      </c>
      <c r="F418" s="56">
        <v>4651</v>
      </c>
      <c r="G418" s="56" t="s">
        <v>282</v>
      </c>
      <c r="H418" s="56">
        <v>4750</v>
      </c>
      <c r="I418" s="56" t="s">
        <v>621</v>
      </c>
      <c r="J418" s="108">
        <v>2</v>
      </c>
      <c r="K418" s="107">
        <v>108</v>
      </c>
      <c r="L418" s="79" t="s">
        <v>659</v>
      </c>
    </row>
    <row r="419" spans="1:12" ht="13.5" customHeight="1">
      <c r="A419" s="91">
        <v>10804751</v>
      </c>
      <c r="B419" s="99" t="s">
        <v>1564</v>
      </c>
      <c r="C419" s="100" t="s">
        <v>258</v>
      </c>
      <c r="D419" s="56">
        <v>1100</v>
      </c>
      <c r="E419" s="56" t="s">
        <v>264</v>
      </c>
      <c r="F419" s="56">
        <v>4751</v>
      </c>
      <c r="G419" s="56" t="s">
        <v>282</v>
      </c>
      <c r="H419" s="56">
        <v>4850</v>
      </c>
      <c r="I419" s="56" t="s">
        <v>622</v>
      </c>
      <c r="J419" s="108">
        <v>2</v>
      </c>
      <c r="K419" s="107">
        <v>108</v>
      </c>
      <c r="L419" s="79" t="s">
        <v>659</v>
      </c>
    </row>
    <row r="420" spans="1:12" ht="13.5" customHeight="1">
      <c r="A420" s="91">
        <v>10804851</v>
      </c>
      <c r="B420" s="99" t="s">
        <v>1565</v>
      </c>
      <c r="C420" s="100" t="s">
        <v>258</v>
      </c>
      <c r="D420" s="56">
        <v>1100</v>
      </c>
      <c r="E420" s="56" t="s">
        <v>264</v>
      </c>
      <c r="F420" s="56">
        <v>4851</v>
      </c>
      <c r="G420" s="56" t="s">
        <v>282</v>
      </c>
      <c r="H420" s="56">
        <v>4950</v>
      </c>
      <c r="I420" s="56" t="s">
        <v>623</v>
      </c>
      <c r="J420" s="108">
        <v>2</v>
      </c>
      <c r="K420" s="107">
        <v>108</v>
      </c>
      <c r="L420" s="79" t="s">
        <v>659</v>
      </c>
    </row>
    <row r="421" spans="1:12" ht="13.5" customHeight="1">
      <c r="A421" s="91">
        <v>10804951</v>
      </c>
      <c r="B421" s="99" t="s">
        <v>1566</v>
      </c>
      <c r="C421" s="100" t="s">
        <v>258</v>
      </c>
      <c r="D421" s="56">
        <v>1100</v>
      </c>
      <c r="E421" s="56" t="s">
        <v>264</v>
      </c>
      <c r="F421" s="56">
        <v>4951</v>
      </c>
      <c r="G421" s="56" t="s">
        <v>282</v>
      </c>
      <c r="H421" s="56">
        <v>5050</v>
      </c>
      <c r="I421" s="56" t="s">
        <v>624</v>
      </c>
      <c r="J421" s="108">
        <v>2</v>
      </c>
      <c r="K421" s="107">
        <v>108</v>
      </c>
      <c r="L421" s="79" t="s">
        <v>659</v>
      </c>
    </row>
    <row r="422" spans="1:12" ht="13.5" customHeight="1">
      <c r="A422" s="91">
        <v>10805051</v>
      </c>
      <c r="B422" s="99" t="s">
        <v>1567</v>
      </c>
      <c r="C422" s="100" t="s">
        <v>258</v>
      </c>
      <c r="D422" s="56">
        <v>1100</v>
      </c>
      <c r="E422" s="56" t="s">
        <v>264</v>
      </c>
      <c r="F422" s="56">
        <v>5051</v>
      </c>
      <c r="G422" s="56" t="s">
        <v>282</v>
      </c>
      <c r="H422" s="56">
        <v>5150</v>
      </c>
      <c r="I422" s="56" t="s">
        <v>625</v>
      </c>
      <c r="J422" s="108">
        <v>2</v>
      </c>
      <c r="K422" s="107">
        <v>108</v>
      </c>
      <c r="L422" s="79" t="s">
        <v>659</v>
      </c>
    </row>
    <row r="423" spans="1:12" ht="13.5" customHeight="1">
      <c r="A423" s="91">
        <v>10805151</v>
      </c>
      <c r="B423" s="99" t="s">
        <v>1568</v>
      </c>
      <c r="C423" s="100" t="s">
        <v>258</v>
      </c>
      <c r="D423" s="56">
        <v>1100</v>
      </c>
      <c r="E423" s="56" t="s">
        <v>264</v>
      </c>
      <c r="F423" s="56">
        <v>5151</v>
      </c>
      <c r="G423" s="56" t="s">
        <v>282</v>
      </c>
      <c r="H423" s="56">
        <v>5250</v>
      </c>
      <c r="I423" s="56" t="s">
        <v>626</v>
      </c>
      <c r="J423" s="108">
        <v>2</v>
      </c>
      <c r="K423" s="107">
        <v>108</v>
      </c>
      <c r="L423" s="79" t="s">
        <v>659</v>
      </c>
    </row>
    <row r="424" spans="1:12" ht="13.5" customHeight="1">
      <c r="A424" s="91">
        <v>10805251</v>
      </c>
      <c r="B424" s="99" t="s">
        <v>1569</v>
      </c>
      <c r="C424" s="100" t="s">
        <v>258</v>
      </c>
      <c r="D424" s="56">
        <v>1100</v>
      </c>
      <c r="E424" s="56" t="s">
        <v>264</v>
      </c>
      <c r="F424" s="56">
        <v>5251</v>
      </c>
      <c r="G424" s="56" t="s">
        <v>282</v>
      </c>
      <c r="H424" s="56">
        <v>5350</v>
      </c>
      <c r="I424" s="56" t="s">
        <v>627</v>
      </c>
      <c r="J424" s="108">
        <v>3</v>
      </c>
      <c r="K424" s="107">
        <v>108</v>
      </c>
      <c r="L424" s="79" t="s">
        <v>659</v>
      </c>
    </row>
    <row r="425" spans="1:12" ht="13.5" customHeight="1">
      <c r="A425" s="91">
        <v>10805351</v>
      </c>
      <c r="B425" s="99" t="s">
        <v>1570</v>
      </c>
      <c r="C425" s="100" t="s">
        <v>258</v>
      </c>
      <c r="D425" s="56">
        <v>1100</v>
      </c>
      <c r="E425" s="56" t="s">
        <v>264</v>
      </c>
      <c r="F425" s="56">
        <v>5351</v>
      </c>
      <c r="G425" s="56" t="s">
        <v>282</v>
      </c>
      <c r="H425" s="56">
        <v>5450</v>
      </c>
      <c r="I425" s="56" t="s">
        <v>628</v>
      </c>
      <c r="J425" s="108">
        <v>3</v>
      </c>
      <c r="K425" s="107">
        <v>108</v>
      </c>
      <c r="L425" s="79" t="s">
        <v>659</v>
      </c>
    </row>
    <row r="426" spans="1:12" ht="13.5" customHeight="1">
      <c r="A426" s="91">
        <v>10805451</v>
      </c>
      <c r="B426" s="99" t="s">
        <v>1571</v>
      </c>
      <c r="C426" s="100" t="s">
        <v>258</v>
      </c>
      <c r="D426" s="56">
        <v>1100</v>
      </c>
      <c r="E426" s="56" t="s">
        <v>264</v>
      </c>
      <c r="F426" s="56">
        <v>5451</v>
      </c>
      <c r="G426" s="56" t="s">
        <v>282</v>
      </c>
      <c r="H426" s="56">
        <v>5550</v>
      </c>
      <c r="I426" s="56" t="s">
        <v>629</v>
      </c>
      <c r="J426" s="108">
        <v>3</v>
      </c>
      <c r="K426" s="107">
        <v>108</v>
      </c>
      <c r="L426" s="79" t="s">
        <v>659</v>
      </c>
    </row>
    <row r="427" spans="1:12" ht="13.5" customHeight="1">
      <c r="A427" s="91">
        <v>10805551</v>
      </c>
      <c r="B427" s="99" t="s">
        <v>1572</v>
      </c>
      <c r="C427" s="100" t="s">
        <v>258</v>
      </c>
      <c r="D427" s="56">
        <v>1100</v>
      </c>
      <c r="E427" s="56" t="s">
        <v>264</v>
      </c>
      <c r="F427" s="56">
        <v>5551</v>
      </c>
      <c r="G427" s="56" t="s">
        <v>282</v>
      </c>
      <c r="H427" s="56">
        <v>5650</v>
      </c>
      <c r="I427" s="56" t="s">
        <v>630</v>
      </c>
      <c r="J427" s="108">
        <v>3</v>
      </c>
      <c r="K427" s="107">
        <v>108</v>
      </c>
      <c r="L427" s="79" t="s">
        <v>659</v>
      </c>
    </row>
    <row r="428" spans="1:12" ht="13.5" customHeight="1">
      <c r="A428" s="91">
        <v>10805651</v>
      </c>
      <c r="B428" s="99" t="s">
        <v>1573</v>
      </c>
      <c r="C428" s="100" t="s">
        <v>258</v>
      </c>
      <c r="D428" s="56">
        <v>1100</v>
      </c>
      <c r="E428" s="56" t="s">
        <v>264</v>
      </c>
      <c r="F428" s="56">
        <v>5651</v>
      </c>
      <c r="G428" s="56" t="s">
        <v>282</v>
      </c>
      <c r="H428" s="56">
        <v>5750</v>
      </c>
      <c r="I428" s="56" t="s">
        <v>631</v>
      </c>
      <c r="J428" s="108">
        <v>3</v>
      </c>
      <c r="K428" s="107">
        <v>108</v>
      </c>
      <c r="L428" s="79" t="s">
        <v>659</v>
      </c>
    </row>
    <row r="429" spans="1:12" ht="13.5" customHeight="1">
      <c r="A429" s="91">
        <v>10805751</v>
      </c>
      <c r="B429" s="99" t="s">
        <v>1574</v>
      </c>
      <c r="C429" s="100" t="s">
        <v>258</v>
      </c>
      <c r="D429" s="56">
        <v>1100</v>
      </c>
      <c r="E429" s="56" t="s">
        <v>264</v>
      </c>
      <c r="F429" s="56">
        <v>5751</v>
      </c>
      <c r="G429" s="56" t="s">
        <v>282</v>
      </c>
      <c r="H429" s="56">
        <v>5850</v>
      </c>
      <c r="I429" s="56" t="s">
        <v>632</v>
      </c>
      <c r="J429" s="108">
        <v>3</v>
      </c>
      <c r="K429" s="107">
        <v>108</v>
      </c>
      <c r="L429" s="79" t="s">
        <v>659</v>
      </c>
    </row>
    <row r="430" spans="1:12" ht="13.5" customHeight="1">
      <c r="A430" s="91">
        <v>10805851</v>
      </c>
      <c r="B430" s="99" t="s">
        <v>1575</v>
      </c>
      <c r="C430" s="100" t="s">
        <v>258</v>
      </c>
      <c r="D430" s="56">
        <v>1100</v>
      </c>
      <c r="E430" s="56" t="s">
        <v>264</v>
      </c>
      <c r="F430" s="56">
        <v>5851</v>
      </c>
      <c r="G430" s="56" t="s">
        <v>282</v>
      </c>
      <c r="H430" s="56">
        <v>5950</v>
      </c>
      <c r="I430" s="56" t="s">
        <v>633</v>
      </c>
      <c r="J430" s="108">
        <v>3</v>
      </c>
      <c r="K430" s="107">
        <v>108</v>
      </c>
      <c r="L430" s="79" t="s">
        <v>659</v>
      </c>
    </row>
    <row r="431" spans="1:12" ht="13.5" customHeight="1">
      <c r="A431" s="91">
        <v>10805951</v>
      </c>
      <c r="B431" s="99" t="s">
        <v>1576</v>
      </c>
      <c r="C431" s="100" t="s">
        <v>258</v>
      </c>
      <c r="D431" s="56">
        <v>1100</v>
      </c>
      <c r="E431" s="56" t="s">
        <v>264</v>
      </c>
      <c r="F431" s="56">
        <v>5951</v>
      </c>
      <c r="G431" s="56" t="s">
        <v>282</v>
      </c>
      <c r="H431" s="56">
        <v>6050</v>
      </c>
      <c r="I431" s="56" t="s">
        <v>634</v>
      </c>
      <c r="J431" s="108">
        <v>3</v>
      </c>
      <c r="K431" s="107">
        <v>108</v>
      </c>
      <c r="L431" s="79" t="s">
        <v>659</v>
      </c>
    </row>
    <row r="432" spans="1:12" ht="13.5" customHeight="1">
      <c r="A432" s="91">
        <v>10806051</v>
      </c>
      <c r="B432" s="99" t="s">
        <v>1577</v>
      </c>
      <c r="C432" s="100" t="s">
        <v>258</v>
      </c>
      <c r="D432" s="56">
        <v>1100</v>
      </c>
      <c r="E432" s="56" t="s">
        <v>264</v>
      </c>
      <c r="F432" s="56">
        <v>6051</v>
      </c>
      <c r="G432" s="56" t="s">
        <v>282</v>
      </c>
      <c r="H432" s="56">
        <v>6150</v>
      </c>
      <c r="I432" s="56" t="s">
        <v>635</v>
      </c>
      <c r="J432" s="108">
        <v>4</v>
      </c>
      <c r="K432" s="107">
        <v>108</v>
      </c>
      <c r="L432" s="79" t="s">
        <v>659</v>
      </c>
    </row>
    <row r="433" spans="1:12" ht="13.5" customHeight="1">
      <c r="A433" s="91">
        <v>10806151</v>
      </c>
      <c r="B433" s="99" t="s">
        <v>1578</v>
      </c>
      <c r="C433" s="100" t="s">
        <v>258</v>
      </c>
      <c r="D433" s="56">
        <v>1100</v>
      </c>
      <c r="E433" s="56" t="s">
        <v>264</v>
      </c>
      <c r="F433" s="56">
        <v>6151</v>
      </c>
      <c r="G433" s="56" t="s">
        <v>282</v>
      </c>
      <c r="H433" s="56">
        <v>6250</v>
      </c>
      <c r="I433" s="56" t="s">
        <v>636</v>
      </c>
      <c r="J433" s="108">
        <v>4</v>
      </c>
      <c r="K433" s="107">
        <v>108</v>
      </c>
      <c r="L433" s="79" t="s">
        <v>659</v>
      </c>
    </row>
    <row r="434" spans="1:12" ht="13.5" customHeight="1">
      <c r="A434" s="91">
        <v>10806251</v>
      </c>
      <c r="B434" s="99" t="s">
        <v>1579</v>
      </c>
      <c r="C434" s="100" t="s">
        <v>258</v>
      </c>
      <c r="D434" s="56">
        <v>1100</v>
      </c>
      <c r="E434" s="56" t="s">
        <v>264</v>
      </c>
      <c r="F434" s="56">
        <v>6251</v>
      </c>
      <c r="G434" s="56" t="s">
        <v>282</v>
      </c>
      <c r="H434" s="56">
        <v>6350</v>
      </c>
      <c r="I434" s="56" t="s">
        <v>637</v>
      </c>
      <c r="J434" s="108">
        <v>4</v>
      </c>
      <c r="K434" s="107">
        <v>108</v>
      </c>
      <c r="L434" s="79" t="s">
        <v>659</v>
      </c>
    </row>
    <row r="435" spans="1:12" ht="13.5" customHeight="1">
      <c r="A435" s="91">
        <v>10806351</v>
      </c>
      <c r="B435" s="99" t="s">
        <v>1580</v>
      </c>
      <c r="C435" s="100" t="s">
        <v>258</v>
      </c>
      <c r="D435" s="56">
        <v>1100</v>
      </c>
      <c r="E435" s="56" t="s">
        <v>264</v>
      </c>
      <c r="F435" s="56">
        <v>6351</v>
      </c>
      <c r="G435" s="56" t="s">
        <v>282</v>
      </c>
      <c r="H435" s="56">
        <v>6450</v>
      </c>
      <c r="I435" s="56" t="s">
        <v>638</v>
      </c>
      <c r="J435" s="108">
        <v>4</v>
      </c>
      <c r="K435" s="107">
        <v>108</v>
      </c>
      <c r="L435" s="79" t="s">
        <v>659</v>
      </c>
    </row>
    <row r="436" spans="1:12" ht="13.5" customHeight="1">
      <c r="A436" s="91">
        <v>10806451</v>
      </c>
      <c r="B436" s="99" t="s">
        <v>1581</v>
      </c>
      <c r="C436" s="100" t="s">
        <v>258</v>
      </c>
      <c r="D436" s="56">
        <v>1100</v>
      </c>
      <c r="E436" s="56" t="s">
        <v>264</v>
      </c>
      <c r="F436" s="56">
        <v>6451</v>
      </c>
      <c r="G436" s="56" t="s">
        <v>282</v>
      </c>
      <c r="H436" s="56">
        <v>6550</v>
      </c>
      <c r="I436" s="56" t="s">
        <v>639</v>
      </c>
      <c r="J436" s="108">
        <v>4</v>
      </c>
      <c r="K436" s="107">
        <v>108</v>
      </c>
      <c r="L436" s="79" t="s">
        <v>659</v>
      </c>
    </row>
    <row r="437" spans="1:12" ht="13.5" customHeight="1">
      <c r="A437" s="91">
        <v>10806551</v>
      </c>
      <c r="B437" s="99" t="s">
        <v>1582</v>
      </c>
      <c r="C437" s="100" t="s">
        <v>258</v>
      </c>
      <c r="D437" s="56">
        <v>1100</v>
      </c>
      <c r="E437" s="56" t="s">
        <v>264</v>
      </c>
      <c r="F437" s="56">
        <v>6551</v>
      </c>
      <c r="G437" s="56" t="s">
        <v>282</v>
      </c>
      <c r="H437" s="56">
        <v>6650</v>
      </c>
      <c r="I437" s="56" t="s">
        <v>640</v>
      </c>
      <c r="J437" s="108">
        <v>4</v>
      </c>
      <c r="K437" s="107">
        <v>108</v>
      </c>
      <c r="L437" s="79" t="s">
        <v>659</v>
      </c>
    </row>
    <row r="438" spans="1:12" ht="13.5" customHeight="1">
      <c r="A438" s="91">
        <v>10806651</v>
      </c>
      <c r="B438" s="99" t="s">
        <v>1583</v>
      </c>
      <c r="C438" s="100" t="s">
        <v>258</v>
      </c>
      <c r="D438" s="56">
        <v>1100</v>
      </c>
      <c r="E438" s="56" t="s">
        <v>264</v>
      </c>
      <c r="F438" s="56">
        <v>6651</v>
      </c>
      <c r="G438" s="56" t="s">
        <v>282</v>
      </c>
      <c r="H438" s="56">
        <v>6750</v>
      </c>
      <c r="I438" s="56" t="s">
        <v>641</v>
      </c>
      <c r="J438" s="108">
        <v>4</v>
      </c>
      <c r="K438" s="107">
        <v>108</v>
      </c>
      <c r="L438" s="79" t="s">
        <v>659</v>
      </c>
    </row>
    <row r="439" spans="1:12" ht="13.5" customHeight="1">
      <c r="A439" s="91">
        <v>10806751</v>
      </c>
      <c r="B439" s="99" t="s">
        <v>1584</v>
      </c>
      <c r="C439" s="100" t="s">
        <v>258</v>
      </c>
      <c r="D439" s="56">
        <v>1100</v>
      </c>
      <c r="E439" s="56" t="s">
        <v>264</v>
      </c>
      <c r="F439" s="56">
        <v>6751</v>
      </c>
      <c r="G439" s="56" t="s">
        <v>282</v>
      </c>
      <c r="H439" s="56">
        <v>6850</v>
      </c>
      <c r="I439" s="56" t="s">
        <v>642</v>
      </c>
      <c r="J439" s="108">
        <v>4</v>
      </c>
      <c r="K439" s="107">
        <v>108</v>
      </c>
      <c r="L439" s="79" t="s">
        <v>659</v>
      </c>
    </row>
    <row r="440" spans="1:12" ht="13.5" customHeight="1">
      <c r="A440" s="91">
        <v>10806851</v>
      </c>
      <c r="B440" s="99" t="s">
        <v>1585</v>
      </c>
      <c r="C440" s="100" t="s">
        <v>258</v>
      </c>
      <c r="D440" s="56">
        <v>1100</v>
      </c>
      <c r="E440" s="56" t="s">
        <v>264</v>
      </c>
      <c r="F440" s="56">
        <v>6851</v>
      </c>
      <c r="G440" s="56" t="s">
        <v>282</v>
      </c>
      <c r="H440" s="56">
        <v>6950</v>
      </c>
      <c r="I440" s="56" t="s">
        <v>643</v>
      </c>
      <c r="J440" s="108">
        <v>5</v>
      </c>
      <c r="K440" s="107">
        <v>108</v>
      </c>
      <c r="L440" s="79" t="s">
        <v>659</v>
      </c>
    </row>
    <row r="441" spans="1:12" ht="13.5" customHeight="1">
      <c r="A441" s="91">
        <v>10806951</v>
      </c>
      <c r="B441" s="99" t="s">
        <v>1586</v>
      </c>
      <c r="C441" s="100" t="s">
        <v>258</v>
      </c>
      <c r="D441" s="56">
        <v>1100</v>
      </c>
      <c r="E441" s="56" t="s">
        <v>264</v>
      </c>
      <c r="F441" s="56">
        <v>6951</v>
      </c>
      <c r="G441" s="56" t="s">
        <v>282</v>
      </c>
      <c r="H441" s="56">
        <v>7050</v>
      </c>
      <c r="I441" s="56" t="s">
        <v>644</v>
      </c>
      <c r="J441" s="108">
        <v>5</v>
      </c>
      <c r="K441" s="107">
        <v>108</v>
      </c>
      <c r="L441" s="79" t="s">
        <v>659</v>
      </c>
    </row>
    <row r="442" spans="1:12" ht="13.5" customHeight="1">
      <c r="A442" s="91">
        <v>10807051</v>
      </c>
      <c r="B442" s="99" t="s">
        <v>1587</v>
      </c>
      <c r="C442" s="100" t="s">
        <v>258</v>
      </c>
      <c r="D442" s="56">
        <v>1100</v>
      </c>
      <c r="E442" s="56" t="s">
        <v>264</v>
      </c>
      <c r="F442" s="56">
        <v>7051</v>
      </c>
      <c r="G442" s="56" t="s">
        <v>282</v>
      </c>
      <c r="H442" s="56">
        <v>7150</v>
      </c>
      <c r="I442" s="56" t="s">
        <v>645</v>
      </c>
      <c r="J442" s="108">
        <v>5</v>
      </c>
      <c r="K442" s="107">
        <v>108</v>
      </c>
      <c r="L442" s="79" t="s">
        <v>659</v>
      </c>
    </row>
    <row r="443" spans="1:12" ht="13.5" customHeight="1">
      <c r="A443" s="91">
        <v>10807151</v>
      </c>
      <c r="B443" s="99" t="s">
        <v>1588</v>
      </c>
      <c r="C443" s="100" t="s">
        <v>258</v>
      </c>
      <c r="D443" s="56">
        <v>1100</v>
      </c>
      <c r="E443" s="56" t="s">
        <v>264</v>
      </c>
      <c r="F443" s="56">
        <v>7151</v>
      </c>
      <c r="G443" s="56" t="s">
        <v>282</v>
      </c>
      <c r="H443" s="56">
        <v>7250</v>
      </c>
      <c r="I443" s="56" t="s">
        <v>646</v>
      </c>
      <c r="J443" s="108">
        <v>5</v>
      </c>
      <c r="K443" s="107">
        <v>108</v>
      </c>
      <c r="L443" s="79" t="s">
        <v>659</v>
      </c>
    </row>
    <row r="444" spans="1:12" ht="13.5" customHeight="1">
      <c r="A444" s="91">
        <v>10807251</v>
      </c>
      <c r="B444" s="99" t="s">
        <v>1589</v>
      </c>
      <c r="C444" s="100" t="s">
        <v>258</v>
      </c>
      <c r="D444" s="56">
        <v>1100</v>
      </c>
      <c r="E444" s="56" t="s">
        <v>264</v>
      </c>
      <c r="F444" s="56">
        <v>7251</v>
      </c>
      <c r="G444" s="56" t="s">
        <v>282</v>
      </c>
      <c r="H444" s="56">
        <v>7350</v>
      </c>
      <c r="I444" s="56" t="s">
        <v>647</v>
      </c>
      <c r="J444" s="108">
        <v>5</v>
      </c>
      <c r="K444" s="107">
        <v>108</v>
      </c>
      <c r="L444" s="79" t="s">
        <v>659</v>
      </c>
    </row>
    <row r="445" spans="1:12" ht="13.5" customHeight="1">
      <c r="A445" s="91">
        <v>10807351</v>
      </c>
      <c r="B445" s="99" t="s">
        <v>1590</v>
      </c>
      <c r="C445" s="100" t="s">
        <v>258</v>
      </c>
      <c r="D445" s="56">
        <v>1100</v>
      </c>
      <c r="E445" s="56" t="s">
        <v>264</v>
      </c>
      <c r="F445" s="56">
        <v>7351</v>
      </c>
      <c r="G445" s="56" t="s">
        <v>282</v>
      </c>
      <c r="H445" s="56">
        <v>7450</v>
      </c>
      <c r="I445" s="56" t="s">
        <v>648</v>
      </c>
      <c r="J445" s="108">
        <v>5</v>
      </c>
      <c r="K445" s="107">
        <v>108</v>
      </c>
      <c r="L445" s="79" t="s">
        <v>659</v>
      </c>
    </row>
    <row r="446" spans="1:12" ht="13.5" customHeight="1">
      <c r="A446" s="91">
        <v>10807451</v>
      </c>
      <c r="B446" s="99" t="s">
        <v>1591</v>
      </c>
      <c r="C446" s="100" t="s">
        <v>258</v>
      </c>
      <c r="D446" s="56">
        <v>1100</v>
      </c>
      <c r="E446" s="56" t="s">
        <v>264</v>
      </c>
      <c r="F446" s="56">
        <v>7451</v>
      </c>
      <c r="G446" s="56" t="s">
        <v>282</v>
      </c>
      <c r="H446" s="56">
        <v>7550</v>
      </c>
      <c r="I446" s="56" t="s">
        <v>649</v>
      </c>
      <c r="J446" s="108">
        <v>5</v>
      </c>
      <c r="K446" s="107">
        <v>108</v>
      </c>
      <c r="L446" s="79" t="s">
        <v>659</v>
      </c>
    </row>
    <row r="447" spans="1:12" ht="13.5" customHeight="1">
      <c r="A447" s="91">
        <v>10807551</v>
      </c>
      <c r="B447" s="99" t="s">
        <v>1592</v>
      </c>
      <c r="C447" s="100" t="s">
        <v>258</v>
      </c>
      <c r="D447" s="56">
        <v>1100</v>
      </c>
      <c r="E447" s="56" t="s">
        <v>264</v>
      </c>
      <c r="F447" s="56">
        <v>7551</v>
      </c>
      <c r="G447" s="56" t="s">
        <v>282</v>
      </c>
      <c r="H447" s="56">
        <v>7650</v>
      </c>
      <c r="I447" s="56" t="s">
        <v>650</v>
      </c>
      <c r="J447" s="108">
        <v>5</v>
      </c>
      <c r="K447" s="107">
        <v>108</v>
      </c>
      <c r="L447" s="79" t="s">
        <v>659</v>
      </c>
    </row>
    <row r="448" spans="1:12" ht="13.5" customHeight="1">
      <c r="A448" s="91">
        <v>10807651</v>
      </c>
      <c r="B448" s="99" t="s">
        <v>1593</v>
      </c>
      <c r="C448" s="100" t="s">
        <v>258</v>
      </c>
      <c r="D448" s="56">
        <v>1100</v>
      </c>
      <c r="E448" s="56" t="s">
        <v>264</v>
      </c>
      <c r="F448" s="56">
        <v>7651</v>
      </c>
      <c r="G448" s="56" t="s">
        <v>282</v>
      </c>
      <c r="H448" s="56">
        <v>7750</v>
      </c>
      <c r="I448" s="56" t="s">
        <v>651</v>
      </c>
      <c r="J448" s="108">
        <v>6</v>
      </c>
      <c r="K448" s="107">
        <v>108</v>
      </c>
      <c r="L448" s="79" t="s">
        <v>659</v>
      </c>
    </row>
    <row r="449" spans="1:12" ht="13.5" customHeight="1">
      <c r="A449" s="91">
        <v>10807751</v>
      </c>
      <c r="B449" s="99" t="s">
        <v>1594</v>
      </c>
      <c r="C449" s="100" t="s">
        <v>258</v>
      </c>
      <c r="D449" s="56">
        <v>1100</v>
      </c>
      <c r="E449" s="56" t="s">
        <v>264</v>
      </c>
      <c r="F449" s="56">
        <v>7751</v>
      </c>
      <c r="G449" s="56" t="s">
        <v>282</v>
      </c>
      <c r="H449" s="56">
        <v>7850</v>
      </c>
      <c r="I449" s="56" t="s">
        <v>652</v>
      </c>
      <c r="J449" s="108">
        <v>6</v>
      </c>
      <c r="K449" s="107">
        <v>108</v>
      </c>
      <c r="L449" s="79" t="s">
        <v>659</v>
      </c>
    </row>
    <row r="450" spans="1:12" ht="13.5" customHeight="1">
      <c r="A450" s="91">
        <v>10807851</v>
      </c>
      <c r="B450" s="99" t="s">
        <v>1595</v>
      </c>
      <c r="C450" s="100" t="s">
        <v>258</v>
      </c>
      <c r="D450" s="56">
        <v>1100</v>
      </c>
      <c r="E450" s="56" t="s">
        <v>264</v>
      </c>
      <c r="F450" s="56">
        <v>7851</v>
      </c>
      <c r="G450" s="56" t="s">
        <v>282</v>
      </c>
      <c r="H450" s="56">
        <v>7950</v>
      </c>
      <c r="I450" s="56" t="s">
        <v>653</v>
      </c>
      <c r="J450" s="108">
        <v>6</v>
      </c>
      <c r="K450" s="107">
        <v>108</v>
      </c>
      <c r="L450" s="79" t="s">
        <v>659</v>
      </c>
    </row>
    <row r="451" spans="1:12" ht="13.5" customHeight="1">
      <c r="A451" s="91">
        <v>10807951</v>
      </c>
      <c r="B451" s="102" t="s">
        <v>1596</v>
      </c>
      <c r="C451" s="103" t="s">
        <v>258</v>
      </c>
      <c r="D451" s="105">
        <v>1100</v>
      </c>
      <c r="E451" s="105" t="s">
        <v>264</v>
      </c>
      <c r="F451" s="105">
        <v>7951</v>
      </c>
      <c r="G451" s="105" t="s">
        <v>282</v>
      </c>
      <c r="H451" s="105">
        <v>8050</v>
      </c>
      <c r="I451" s="105" t="s">
        <v>654</v>
      </c>
      <c r="J451" s="109">
        <v>6</v>
      </c>
      <c r="K451" s="107">
        <v>108</v>
      </c>
      <c r="L451" s="79" t="s">
        <v>659</v>
      </c>
    </row>
    <row r="452" spans="1:12" ht="13.5" customHeight="1">
      <c r="A452" s="91">
        <v>10900000</v>
      </c>
      <c r="B452" s="92" t="s">
        <v>1597</v>
      </c>
      <c r="C452" s="111" t="s">
        <v>655</v>
      </c>
      <c r="D452" s="94">
        <v>1000</v>
      </c>
      <c r="E452" s="94" t="s">
        <v>596</v>
      </c>
      <c r="F452" s="94">
        <v>0</v>
      </c>
      <c r="G452" s="94" t="s">
        <v>282</v>
      </c>
      <c r="H452" s="94">
        <v>2645</v>
      </c>
      <c r="I452" s="94" t="s">
        <v>597</v>
      </c>
      <c r="J452" s="110">
        <v>0</v>
      </c>
      <c r="K452" s="107">
        <v>109</v>
      </c>
      <c r="L452" s="79" t="s">
        <v>659</v>
      </c>
    </row>
    <row r="453" spans="1:12" ht="13.5" customHeight="1">
      <c r="A453" s="91">
        <v>10902646</v>
      </c>
      <c r="B453" s="99" t="s">
        <v>1598</v>
      </c>
      <c r="C453" s="98" t="s">
        <v>655</v>
      </c>
      <c r="D453" s="56">
        <v>1000</v>
      </c>
      <c r="E453" s="56" t="s">
        <v>596</v>
      </c>
      <c r="F453" s="56">
        <v>2646</v>
      </c>
      <c r="G453" s="56" t="s">
        <v>282</v>
      </c>
      <c r="H453" s="56">
        <v>2715</v>
      </c>
      <c r="I453" s="56" t="s">
        <v>599</v>
      </c>
      <c r="J453" s="108">
        <v>0</v>
      </c>
      <c r="K453" s="107">
        <v>109</v>
      </c>
      <c r="L453" s="79" t="s">
        <v>659</v>
      </c>
    </row>
    <row r="454" spans="1:12" ht="13.5" customHeight="1">
      <c r="A454" s="91">
        <v>10902716</v>
      </c>
      <c r="B454" s="99" t="s">
        <v>1599</v>
      </c>
      <c r="C454" s="98" t="s">
        <v>655</v>
      </c>
      <c r="D454" s="56">
        <v>1000</v>
      </c>
      <c r="E454" s="56" t="s">
        <v>596</v>
      </c>
      <c r="F454" s="56">
        <v>2716</v>
      </c>
      <c r="G454" s="56" t="s">
        <v>282</v>
      </c>
      <c r="H454" s="56">
        <v>2765</v>
      </c>
      <c r="I454" s="56" t="s">
        <v>600</v>
      </c>
      <c r="J454" s="108">
        <v>0</v>
      </c>
      <c r="K454" s="107">
        <v>109</v>
      </c>
      <c r="L454" s="79" t="s">
        <v>659</v>
      </c>
    </row>
    <row r="455" spans="1:12" ht="13.5" customHeight="1">
      <c r="A455" s="91">
        <v>10902766</v>
      </c>
      <c r="B455" s="99" t="s">
        <v>1600</v>
      </c>
      <c r="C455" s="98" t="s">
        <v>655</v>
      </c>
      <c r="D455" s="56">
        <v>1000</v>
      </c>
      <c r="E455" s="56" t="s">
        <v>596</v>
      </c>
      <c r="F455" s="56">
        <v>2766</v>
      </c>
      <c r="G455" s="56" t="s">
        <v>282</v>
      </c>
      <c r="H455" s="56">
        <v>2865</v>
      </c>
      <c r="I455" s="56" t="s">
        <v>602</v>
      </c>
      <c r="J455" s="108">
        <v>0</v>
      </c>
      <c r="K455" s="107">
        <v>109</v>
      </c>
      <c r="L455" s="79" t="s">
        <v>659</v>
      </c>
    </row>
    <row r="456" spans="1:12" ht="13.5" customHeight="1">
      <c r="A456" s="91">
        <v>10902866</v>
      </c>
      <c r="B456" s="99" t="s">
        <v>1601</v>
      </c>
      <c r="C456" s="98" t="s">
        <v>655</v>
      </c>
      <c r="D456" s="56">
        <v>1000</v>
      </c>
      <c r="E456" s="56" t="s">
        <v>596</v>
      </c>
      <c r="F456" s="56">
        <v>2866</v>
      </c>
      <c r="G456" s="56" t="s">
        <v>282</v>
      </c>
      <c r="H456" s="56">
        <v>2965</v>
      </c>
      <c r="I456" s="56" t="s">
        <v>603</v>
      </c>
      <c r="J456" s="108">
        <v>0</v>
      </c>
      <c r="K456" s="107">
        <v>109</v>
      </c>
      <c r="L456" s="79" t="s">
        <v>659</v>
      </c>
    </row>
    <row r="457" spans="1:12" ht="13.5" customHeight="1">
      <c r="A457" s="91">
        <v>10902966</v>
      </c>
      <c r="B457" s="99" t="s">
        <v>1602</v>
      </c>
      <c r="C457" s="98" t="s">
        <v>655</v>
      </c>
      <c r="D457" s="56">
        <v>1000</v>
      </c>
      <c r="E457" s="56" t="s">
        <v>596</v>
      </c>
      <c r="F457" s="56">
        <v>2966</v>
      </c>
      <c r="G457" s="56" t="s">
        <v>282</v>
      </c>
      <c r="H457" s="56">
        <v>3065</v>
      </c>
      <c r="I457" s="56" t="s">
        <v>604</v>
      </c>
      <c r="J457" s="108">
        <v>0</v>
      </c>
      <c r="K457" s="107">
        <v>109</v>
      </c>
      <c r="L457" s="79" t="s">
        <v>659</v>
      </c>
    </row>
    <row r="458" spans="1:12" ht="13.5" customHeight="1">
      <c r="A458" s="91">
        <v>10903066</v>
      </c>
      <c r="B458" s="99" t="s">
        <v>1603</v>
      </c>
      <c r="C458" s="98" t="s">
        <v>655</v>
      </c>
      <c r="D458" s="56">
        <v>1000</v>
      </c>
      <c r="E458" s="56" t="s">
        <v>596</v>
      </c>
      <c r="F458" s="56">
        <v>3066</v>
      </c>
      <c r="G458" s="56" t="s">
        <v>282</v>
      </c>
      <c r="H458" s="56">
        <v>3165</v>
      </c>
      <c r="I458" s="56" t="s">
        <v>605</v>
      </c>
      <c r="J458" s="108">
        <v>0</v>
      </c>
      <c r="K458" s="107">
        <v>109</v>
      </c>
      <c r="L458" s="79" t="s">
        <v>659</v>
      </c>
    </row>
    <row r="459" spans="1:12" ht="14.25" customHeight="1">
      <c r="A459" s="91">
        <v>10903166</v>
      </c>
      <c r="B459" s="99" t="s">
        <v>1604</v>
      </c>
      <c r="C459" s="98" t="s">
        <v>655</v>
      </c>
      <c r="D459" s="56">
        <v>1000</v>
      </c>
      <c r="E459" s="56" t="s">
        <v>596</v>
      </c>
      <c r="F459" s="56">
        <v>3166</v>
      </c>
      <c r="G459" s="56" t="s">
        <v>282</v>
      </c>
      <c r="H459" s="56">
        <v>3265</v>
      </c>
      <c r="I459" s="56" t="s">
        <v>606</v>
      </c>
      <c r="J459" s="108">
        <v>0</v>
      </c>
      <c r="K459" s="107">
        <v>109</v>
      </c>
      <c r="L459" s="79" t="s">
        <v>659</v>
      </c>
    </row>
    <row r="460" spans="1:12" ht="13.5" customHeight="1">
      <c r="A460" s="91">
        <v>10903266</v>
      </c>
      <c r="B460" s="99" t="s">
        <v>1605</v>
      </c>
      <c r="C460" s="98" t="s">
        <v>655</v>
      </c>
      <c r="D460" s="56">
        <v>1000</v>
      </c>
      <c r="E460" s="56" t="s">
        <v>596</v>
      </c>
      <c r="F460" s="56">
        <v>3266</v>
      </c>
      <c r="G460" s="56" t="s">
        <v>282</v>
      </c>
      <c r="H460" s="56">
        <v>3365</v>
      </c>
      <c r="I460" s="56" t="s">
        <v>607</v>
      </c>
      <c r="J460" s="108">
        <v>0</v>
      </c>
      <c r="K460" s="107">
        <v>109</v>
      </c>
      <c r="L460" s="79" t="s">
        <v>659</v>
      </c>
    </row>
    <row r="461" spans="1:12" ht="13.5" customHeight="1">
      <c r="A461" s="91">
        <v>10903366</v>
      </c>
      <c r="B461" s="99" t="s">
        <v>1606</v>
      </c>
      <c r="C461" s="98" t="s">
        <v>655</v>
      </c>
      <c r="D461" s="56">
        <v>1000</v>
      </c>
      <c r="E461" s="56" t="s">
        <v>596</v>
      </c>
      <c r="F461" s="56">
        <v>3366</v>
      </c>
      <c r="G461" s="56" t="s">
        <v>282</v>
      </c>
      <c r="H461" s="56">
        <v>3465</v>
      </c>
      <c r="I461" s="56" t="s">
        <v>608</v>
      </c>
      <c r="J461" s="108">
        <v>0</v>
      </c>
      <c r="K461" s="107">
        <v>109</v>
      </c>
      <c r="L461" s="79" t="s">
        <v>659</v>
      </c>
    </row>
    <row r="462" spans="1:12" ht="13.5" customHeight="1">
      <c r="A462" s="91">
        <v>10903466</v>
      </c>
      <c r="B462" s="99" t="s">
        <v>1607</v>
      </c>
      <c r="C462" s="98" t="s">
        <v>655</v>
      </c>
      <c r="D462" s="56">
        <v>1000</v>
      </c>
      <c r="E462" s="56" t="s">
        <v>596</v>
      </c>
      <c r="F462" s="56">
        <v>3466</v>
      </c>
      <c r="G462" s="56" t="s">
        <v>282</v>
      </c>
      <c r="H462" s="56">
        <v>3565</v>
      </c>
      <c r="I462" s="56" t="s">
        <v>609</v>
      </c>
      <c r="J462" s="108">
        <v>0</v>
      </c>
      <c r="K462" s="107">
        <v>109</v>
      </c>
      <c r="L462" s="79" t="s">
        <v>659</v>
      </c>
    </row>
    <row r="463" spans="1:12" ht="13.5" customHeight="1">
      <c r="A463" s="91">
        <v>10903566</v>
      </c>
      <c r="B463" s="99" t="s">
        <v>1608</v>
      </c>
      <c r="C463" s="98" t="s">
        <v>655</v>
      </c>
      <c r="D463" s="56">
        <v>1000</v>
      </c>
      <c r="E463" s="56" t="s">
        <v>596</v>
      </c>
      <c r="F463" s="56">
        <v>3566</v>
      </c>
      <c r="G463" s="56" t="s">
        <v>282</v>
      </c>
      <c r="H463" s="56">
        <v>3665</v>
      </c>
      <c r="I463" s="56" t="s">
        <v>610</v>
      </c>
      <c r="J463" s="108">
        <v>0</v>
      </c>
      <c r="K463" s="107">
        <v>109</v>
      </c>
      <c r="L463" s="79" t="s">
        <v>659</v>
      </c>
    </row>
    <row r="464" spans="1:12" ht="13.5" customHeight="1">
      <c r="A464" s="91">
        <v>10903666</v>
      </c>
      <c r="B464" s="99" t="s">
        <v>1609</v>
      </c>
      <c r="C464" s="98" t="s">
        <v>655</v>
      </c>
      <c r="D464" s="56">
        <v>1000</v>
      </c>
      <c r="E464" s="56" t="s">
        <v>596</v>
      </c>
      <c r="F464" s="56">
        <v>3666</v>
      </c>
      <c r="G464" s="56" t="s">
        <v>282</v>
      </c>
      <c r="H464" s="56">
        <v>3765</v>
      </c>
      <c r="I464" s="56" t="s">
        <v>611</v>
      </c>
      <c r="J464" s="108">
        <v>1</v>
      </c>
      <c r="K464" s="107">
        <v>109</v>
      </c>
      <c r="L464" s="79" t="s">
        <v>659</v>
      </c>
    </row>
    <row r="465" spans="1:12" ht="13.5" customHeight="1">
      <c r="A465" s="91">
        <v>10903766</v>
      </c>
      <c r="B465" s="99" t="s">
        <v>1610</v>
      </c>
      <c r="C465" s="98" t="s">
        <v>655</v>
      </c>
      <c r="D465" s="56">
        <v>1000</v>
      </c>
      <c r="E465" s="56" t="s">
        <v>596</v>
      </c>
      <c r="F465" s="56">
        <v>3766</v>
      </c>
      <c r="G465" s="56" t="s">
        <v>282</v>
      </c>
      <c r="H465" s="56">
        <v>3865</v>
      </c>
      <c r="I465" s="56" t="s">
        <v>612</v>
      </c>
      <c r="J465" s="108">
        <v>1</v>
      </c>
      <c r="K465" s="107">
        <v>109</v>
      </c>
      <c r="L465" s="79" t="s">
        <v>659</v>
      </c>
    </row>
    <row r="466" spans="1:12" ht="13.5" customHeight="1">
      <c r="A466" s="91">
        <v>10903866</v>
      </c>
      <c r="B466" s="99" t="s">
        <v>1611</v>
      </c>
      <c r="C466" s="98" t="s">
        <v>655</v>
      </c>
      <c r="D466" s="56">
        <v>1000</v>
      </c>
      <c r="E466" s="56" t="s">
        <v>596</v>
      </c>
      <c r="F466" s="56">
        <v>3866</v>
      </c>
      <c r="G466" s="56" t="s">
        <v>282</v>
      </c>
      <c r="H466" s="56">
        <v>3965</v>
      </c>
      <c r="I466" s="56" t="s">
        <v>613</v>
      </c>
      <c r="J466" s="108">
        <v>1</v>
      </c>
      <c r="K466" s="107">
        <v>109</v>
      </c>
      <c r="L466" s="79" t="s">
        <v>659</v>
      </c>
    </row>
    <row r="467" spans="1:12" ht="13.5" customHeight="1">
      <c r="A467" s="91">
        <v>10903966</v>
      </c>
      <c r="B467" s="99" t="s">
        <v>1612</v>
      </c>
      <c r="C467" s="98" t="s">
        <v>655</v>
      </c>
      <c r="D467" s="56">
        <v>1000</v>
      </c>
      <c r="E467" s="56" t="s">
        <v>596</v>
      </c>
      <c r="F467" s="56">
        <v>3966</v>
      </c>
      <c r="G467" s="56" t="s">
        <v>282</v>
      </c>
      <c r="H467" s="56">
        <v>4065</v>
      </c>
      <c r="I467" s="56" t="s">
        <v>614</v>
      </c>
      <c r="J467" s="108">
        <v>1</v>
      </c>
      <c r="K467" s="107">
        <v>109</v>
      </c>
      <c r="L467" s="79" t="s">
        <v>659</v>
      </c>
    </row>
    <row r="468" spans="1:12" ht="13.5" customHeight="1">
      <c r="A468" s="91">
        <v>10904066</v>
      </c>
      <c r="B468" s="99" t="s">
        <v>1613</v>
      </c>
      <c r="C468" s="98" t="s">
        <v>655</v>
      </c>
      <c r="D468" s="56">
        <v>1000</v>
      </c>
      <c r="E468" s="56" t="s">
        <v>596</v>
      </c>
      <c r="F468" s="56">
        <v>4066</v>
      </c>
      <c r="G468" s="56" t="s">
        <v>282</v>
      </c>
      <c r="H468" s="56">
        <v>4165</v>
      </c>
      <c r="I468" s="56" t="s">
        <v>615</v>
      </c>
      <c r="J468" s="108">
        <v>1</v>
      </c>
      <c r="K468" s="107">
        <v>109</v>
      </c>
      <c r="L468" s="79" t="s">
        <v>659</v>
      </c>
    </row>
    <row r="469" spans="1:12" ht="13.5" customHeight="1">
      <c r="A469" s="91">
        <v>10904166</v>
      </c>
      <c r="B469" s="99" t="s">
        <v>1614</v>
      </c>
      <c r="C469" s="98" t="s">
        <v>655</v>
      </c>
      <c r="D469" s="56">
        <v>1000</v>
      </c>
      <c r="E469" s="56" t="s">
        <v>596</v>
      </c>
      <c r="F469" s="56">
        <v>4166</v>
      </c>
      <c r="G469" s="56" t="s">
        <v>282</v>
      </c>
      <c r="H469" s="56">
        <v>4265</v>
      </c>
      <c r="I469" s="56" t="s">
        <v>616</v>
      </c>
      <c r="J469" s="108">
        <v>1</v>
      </c>
      <c r="K469" s="107">
        <v>109</v>
      </c>
      <c r="L469" s="79" t="s">
        <v>659</v>
      </c>
    </row>
    <row r="470" spans="1:12" ht="13.5" customHeight="1">
      <c r="A470" s="91">
        <v>10904266</v>
      </c>
      <c r="B470" s="99" t="s">
        <v>1615</v>
      </c>
      <c r="C470" s="98" t="s">
        <v>655</v>
      </c>
      <c r="D470" s="56">
        <v>1000</v>
      </c>
      <c r="E470" s="56" t="s">
        <v>596</v>
      </c>
      <c r="F470" s="56">
        <v>4266</v>
      </c>
      <c r="G470" s="56" t="s">
        <v>282</v>
      </c>
      <c r="H470" s="56">
        <v>4365</v>
      </c>
      <c r="I470" s="56" t="s">
        <v>617</v>
      </c>
      <c r="J470" s="108">
        <v>1</v>
      </c>
      <c r="K470" s="107">
        <v>109</v>
      </c>
      <c r="L470" s="79" t="s">
        <v>659</v>
      </c>
    </row>
    <row r="471" spans="1:12" ht="13.5" customHeight="1">
      <c r="A471" s="91">
        <v>10904366</v>
      </c>
      <c r="B471" s="99" t="s">
        <v>1616</v>
      </c>
      <c r="C471" s="98" t="s">
        <v>655</v>
      </c>
      <c r="D471" s="56">
        <v>1000</v>
      </c>
      <c r="E471" s="56" t="s">
        <v>596</v>
      </c>
      <c r="F471" s="56">
        <v>4366</v>
      </c>
      <c r="G471" s="56" t="s">
        <v>282</v>
      </c>
      <c r="H471" s="56">
        <v>4465</v>
      </c>
      <c r="I471" s="56" t="s">
        <v>618</v>
      </c>
      <c r="J471" s="108">
        <v>1</v>
      </c>
      <c r="K471" s="107">
        <v>109</v>
      </c>
      <c r="L471" s="79" t="s">
        <v>659</v>
      </c>
    </row>
    <row r="472" spans="1:12" ht="13.5" customHeight="1">
      <c r="A472" s="91">
        <v>10904466</v>
      </c>
      <c r="B472" s="99" t="s">
        <v>1617</v>
      </c>
      <c r="C472" s="98" t="s">
        <v>655</v>
      </c>
      <c r="D472" s="56">
        <v>1000</v>
      </c>
      <c r="E472" s="56" t="s">
        <v>596</v>
      </c>
      <c r="F472" s="56">
        <v>4466</v>
      </c>
      <c r="G472" s="56" t="s">
        <v>282</v>
      </c>
      <c r="H472" s="56">
        <v>4565</v>
      </c>
      <c r="I472" s="56" t="s">
        <v>619</v>
      </c>
      <c r="J472" s="108">
        <v>2</v>
      </c>
      <c r="K472" s="107">
        <v>109</v>
      </c>
      <c r="L472" s="79" t="s">
        <v>659</v>
      </c>
    </row>
    <row r="473" spans="1:12" ht="13.5" customHeight="1">
      <c r="A473" s="91">
        <v>10904566</v>
      </c>
      <c r="B473" s="99" t="s">
        <v>1618</v>
      </c>
      <c r="C473" s="98" t="s">
        <v>655</v>
      </c>
      <c r="D473" s="56">
        <v>1000</v>
      </c>
      <c r="E473" s="56" t="s">
        <v>596</v>
      </c>
      <c r="F473" s="56">
        <v>4566</v>
      </c>
      <c r="G473" s="56" t="s">
        <v>282</v>
      </c>
      <c r="H473" s="56">
        <v>4665</v>
      </c>
      <c r="I473" s="56" t="s">
        <v>620</v>
      </c>
      <c r="J473" s="108">
        <v>2</v>
      </c>
      <c r="K473" s="107">
        <v>109</v>
      </c>
      <c r="L473" s="79" t="s">
        <v>659</v>
      </c>
    </row>
    <row r="474" spans="1:12" ht="13.5" customHeight="1">
      <c r="A474" s="91">
        <v>10904666</v>
      </c>
      <c r="B474" s="99" t="s">
        <v>1619</v>
      </c>
      <c r="C474" s="98" t="s">
        <v>655</v>
      </c>
      <c r="D474" s="56">
        <v>1000</v>
      </c>
      <c r="E474" s="56" t="s">
        <v>596</v>
      </c>
      <c r="F474" s="56">
        <v>4666</v>
      </c>
      <c r="G474" s="56" t="s">
        <v>282</v>
      </c>
      <c r="H474" s="56">
        <v>4765</v>
      </c>
      <c r="I474" s="56" t="s">
        <v>621</v>
      </c>
      <c r="J474" s="108">
        <v>2</v>
      </c>
      <c r="K474" s="107">
        <v>109</v>
      </c>
      <c r="L474" s="79" t="s">
        <v>659</v>
      </c>
    </row>
    <row r="475" spans="1:12" ht="13.5" customHeight="1">
      <c r="A475" s="91">
        <v>10904766</v>
      </c>
      <c r="B475" s="99" t="s">
        <v>1620</v>
      </c>
      <c r="C475" s="98" t="s">
        <v>655</v>
      </c>
      <c r="D475" s="56">
        <v>1000</v>
      </c>
      <c r="E475" s="56" t="s">
        <v>596</v>
      </c>
      <c r="F475" s="56">
        <v>4766</v>
      </c>
      <c r="G475" s="56" t="s">
        <v>282</v>
      </c>
      <c r="H475" s="56">
        <v>4865</v>
      </c>
      <c r="I475" s="56" t="s">
        <v>622</v>
      </c>
      <c r="J475" s="108">
        <v>2</v>
      </c>
      <c r="K475" s="107">
        <v>109</v>
      </c>
      <c r="L475" s="79" t="s">
        <v>659</v>
      </c>
    </row>
    <row r="476" spans="1:12" ht="13.5" customHeight="1">
      <c r="A476" s="91">
        <v>10904866</v>
      </c>
      <c r="B476" s="99" t="s">
        <v>1621</v>
      </c>
      <c r="C476" s="98" t="s">
        <v>655</v>
      </c>
      <c r="D476" s="56">
        <v>1000</v>
      </c>
      <c r="E476" s="56" t="s">
        <v>596</v>
      </c>
      <c r="F476" s="56">
        <v>4866</v>
      </c>
      <c r="G476" s="56" t="s">
        <v>282</v>
      </c>
      <c r="H476" s="56">
        <v>4965</v>
      </c>
      <c r="I476" s="56" t="s">
        <v>623</v>
      </c>
      <c r="J476" s="108">
        <v>2</v>
      </c>
      <c r="K476" s="107">
        <v>109</v>
      </c>
      <c r="L476" s="79" t="s">
        <v>659</v>
      </c>
    </row>
    <row r="477" spans="1:12" ht="13.5" customHeight="1">
      <c r="A477" s="91">
        <v>10904966</v>
      </c>
      <c r="B477" s="99" t="s">
        <v>1622</v>
      </c>
      <c r="C477" s="98" t="s">
        <v>655</v>
      </c>
      <c r="D477" s="56">
        <v>1000</v>
      </c>
      <c r="E477" s="56" t="s">
        <v>596</v>
      </c>
      <c r="F477" s="56">
        <v>4966</v>
      </c>
      <c r="G477" s="56" t="s">
        <v>282</v>
      </c>
      <c r="H477" s="56">
        <v>5065</v>
      </c>
      <c r="I477" s="56" t="s">
        <v>624</v>
      </c>
      <c r="J477" s="108">
        <v>2</v>
      </c>
      <c r="K477" s="107">
        <v>109</v>
      </c>
      <c r="L477" s="79" t="s">
        <v>659</v>
      </c>
    </row>
    <row r="478" spans="1:12" ht="13.5" customHeight="1">
      <c r="A478" s="91">
        <v>10905066</v>
      </c>
      <c r="B478" s="99" t="s">
        <v>1623</v>
      </c>
      <c r="C478" s="98" t="s">
        <v>655</v>
      </c>
      <c r="D478" s="56">
        <v>1000</v>
      </c>
      <c r="E478" s="56" t="s">
        <v>596</v>
      </c>
      <c r="F478" s="56">
        <v>5066</v>
      </c>
      <c r="G478" s="56" t="s">
        <v>282</v>
      </c>
      <c r="H478" s="56">
        <v>5165</v>
      </c>
      <c r="I478" s="56" t="s">
        <v>625</v>
      </c>
      <c r="J478" s="108">
        <v>2</v>
      </c>
      <c r="K478" s="107">
        <v>109</v>
      </c>
      <c r="L478" s="79" t="s">
        <v>659</v>
      </c>
    </row>
    <row r="479" spans="1:12" ht="13.5" customHeight="1">
      <c r="A479" s="91">
        <v>10905166</v>
      </c>
      <c r="B479" s="99" t="s">
        <v>1624</v>
      </c>
      <c r="C479" s="98" t="s">
        <v>655</v>
      </c>
      <c r="D479" s="56">
        <v>1000</v>
      </c>
      <c r="E479" s="56" t="s">
        <v>596</v>
      </c>
      <c r="F479" s="56">
        <v>5166</v>
      </c>
      <c r="G479" s="56" t="s">
        <v>282</v>
      </c>
      <c r="H479" s="56">
        <v>5265</v>
      </c>
      <c r="I479" s="56" t="s">
        <v>626</v>
      </c>
      <c r="J479" s="108">
        <v>2</v>
      </c>
      <c r="K479" s="107">
        <v>109</v>
      </c>
      <c r="L479" s="79" t="s">
        <v>659</v>
      </c>
    </row>
    <row r="480" spans="1:12" ht="13.5" customHeight="1">
      <c r="A480" s="91">
        <v>10905266</v>
      </c>
      <c r="B480" s="99" t="s">
        <v>1625</v>
      </c>
      <c r="C480" s="98" t="s">
        <v>655</v>
      </c>
      <c r="D480" s="56">
        <v>1000</v>
      </c>
      <c r="E480" s="56" t="s">
        <v>596</v>
      </c>
      <c r="F480" s="56">
        <v>5266</v>
      </c>
      <c r="G480" s="56" t="s">
        <v>282</v>
      </c>
      <c r="H480" s="56">
        <v>5365</v>
      </c>
      <c r="I480" s="56" t="s">
        <v>627</v>
      </c>
      <c r="J480" s="108">
        <v>3</v>
      </c>
      <c r="K480" s="107">
        <v>109</v>
      </c>
      <c r="L480" s="79" t="s">
        <v>659</v>
      </c>
    </row>
    <row r="481" spans="1:12" ht="13.5" customHeight="1">
      <c r="A481" s="91">
        <v>10905366</v>
      </c>
      <c r="B481" s="99" t="s">
        <v>1626</v>
      </c>
      <c r="C481" s="98" t="s">
        <v>655</v>
      </c>
      <c r="D481" s="56">
        <v>1000</v>
      </c>
      <c r="E481" s="56" t="s">
        <v>596</v>
      </c>
      <c r="F481" s="56">
        <v>5366</v>
      </c>
      <c r="G481" s="56" t="s">
        <v>282</v>
      </c>
      <c r="H481" s="56">
        <v>5465</v>
      </c>
      <c r="I481" s="56" t="s">
        <v>628</v>
      </c>
      <c r="J481" s="108">
        <v>3</v>
      </c>
      <c r="K481" s="107">
        <v>109</v>
      </c>
      <c r="L481" s="79" t="s">
        <v>659</v>
      </c>
    </row>
    <row r="482" spans="1:12" ht="13.5" customHeight="1">
      <c r="A482" s="91">
        <v>10905466</v>
      </c>
      <c r="B482" s="99" t="s">
        <v>1627</v>
      </c>
      <c r="C482" s="98" t="s">
        <v>655</v>
      </c>
      <c r="D482" s="56">
        <v>1000</v>
      </c>
      <c r="E482" s="56" t="s">
        <v>596</v>
      </c>
      <c r="F482" s="56">
        <v>5466</v>
      </c>
      <c r="G482" s="56" t="s">
        <v>282</v>
      </c>
      <c r="H482" s="56">
        <v>5565</v>
      </c>
      <c r="I482" s="56" t="s">
        <v>629</v>
      </c>
      <c r="J482" s="108">
        <v>3</v>
      </c>
      <c r="K482" s="107">
        <v>109</v>
      </c>
      <c r="L482" s="79" t="s">
        <v>659</v>
      </c>
    </row>
    <row r="483" spans="1:12" ht="13.5" customHeight="1">
      <c r="A483" s="91">
        <v>10905566</v>
      </c>
      <c r="B483" s="99" t="s">
        <v>1628</v>
      </c>
      <c r="C483" s="98" t="s">
        <v>655</v>
      </c>
      <c r="D483" s="56">
        <v>1000</v>
      </c>
      <c r="E483" s="56" t="s">
        <v>596</v>
      </c>
      <c r="F483" s="56">
        <v>5566</v>
      </c>
      <c r="G483" s="56" t="s">
        <v>282</v>
      </c>
      <c r="H483" s="56">
        <v>5665</v>
      </c>
      <c r="I483" s="56" t="s">
        <v>630</v>
      </c>
      <c r="J483" s="108">
        <v>3</v>
      </c>
      <c r="K483" s="107">
        <v>109</v>
      </c>
      <c r="L483" s="79" t="s">
        <v>659</v>
      </c>
    </row>
    <row r="484" spans="1:12" ht="13.5" customHeight="1">
      <c r="A484" s="91">
        <v>10905666</v>
      </c>
      <c r="B484" s="99" t="s">
        <v>1629</v>
      </c>
      <c r="C484" s="98" t="s">
        <v>655</v>
      </c>
      <c r="D484" s="56">
        <v>1000</v>
      </c>
      <c r="E484" s="56" t="s">
        <v>596</v>
      </c>
      <c r="F484" s="56">
        <v>5666</v>
      </c>
      <c r="G484" s="56" t="s">
        <v>282</v>
      </c>
      <c r="H484" s="56">
        <v>5765</v>
      </c>
      <c r="I484" s="56" t="s">
        <v>631</v>
      </c>
      <c r="J484" s="108">
        <v>3</v>
      </c>
      <c r="K484" s="107">
        <v>109</v>
      </c>
      <c r="L484" s="79" t="s">
        <v>659</v>
      </c>
    </row>
    <row r="485" spans="1:12" ht="13.5" customHeight="1">
      <c r="A485" s="91">
        <v>10905766</v>
      </c>
      <c r="B485" s="99" t="s">
        <v>1630</v>
      </c>
      <c r="C485" s="98" t="s">
        <v>655</v>
      </c>
      <c r="D485" s="56">
        <v>1000</v>
      </c>
      <c r="E485" s="56" t="s">
        <v>596</v>
      </c>
      <c r="F485" s="56">
        <v>5766</v>
      </c>
      <c r="G485" s="56" t="s">
        <v>282</v>
      </c>
      <c r="H485" s="56">
        <v>5865</v>
      </c>
      <c r="I485" s="56" t="s">
        <v>632</v>
      </c>
      <c r="J485" s="108">
        <v>3</v>
      </c>
      <c r="K485" s="107">
        <v>109</v>
      </c>
      <c r="L485" s="79" t="s">
        <v>659</v>
      </c>
    </row>
    <row r="486" spans="1:12" ht="13.5" customHeight="1">
      <c r="A486" s="91">
        <v>10905866</v>
      </c>
      <c r="B486" s="99" t="s">
        <v>1631</v>
      </c>
      <c r="C486" s="98" t="s">
        <v>655</v>
      </c>
      <c r="D486" s="56">
        <v>1000</v>
      </c>
      <c r="E486" s="56" t="s">
        <v>596</v>
      </c>
      <c r="F486" s="56">
        <v>5866</v>
      </c>
      <c r="G486" s="56" t="s">
        <v>282</v>
      </c>
      <c r="H486" s="56">
        <v>5965</v>
      </c>
      <c r="I486" s="56" t="s">
        <v>633</v>
      </c>
      <c r="J486" s="108">
        <v>3</v>
      </c>
      <c r="K486" s="107">
        <v>109</v>
      </c>
      <c r="L486" s="79" t="s">
        <v>659</v>
      </c>
    </row>
    <row r="487" spans="1:12" ht="13.5" customHeight="1">
      <c r="A487" s="91">
        <v>10905966</v>
      </c>
      <c r="B487" s="99" t="s">
        <v>1632</v>
      </c>
      <c r="C487" s="98" t="s">
        <v>655</v>
      </c>
      <c r="D487" s="56">
        <v>1000</v>
      </c>
      <c r="E487" s="56" t="s">
        <v>596</v>
      </c>
      <c r="F487" s="56">
        <v>5966</v>
      </c>
      <c r="G487" s="56" t="s">
        <v>282</v>
      </c>
      <c r="H487" s="56">
        <v>6065</v>
      </c>
      <c r="I487" s="56" t="s">
        <v>634</v>
      </c>
      <c r="J487" s="108">
        <v>3</v>
      </c>
      <c r="K487" s="107">
        <v>109</v>
      </c>
      <c r="L487" s="79" t="s">
        <v>659</v>
      </c>
    </row>
    <row r="488" spans="1:12" ht="13.5" customHeight="1">
      <c r="A488" s="91">
        <v>10906066</v>
      </c>
      <c r="B488" s="99" t="s">
        <v>1633</v>
      </c>
      <c r="C488" s="98" t="s">
        <v>655</v>
      </c>
      <c r="D488" s="56">
        <v>1000</v>
      </c>
      <c r="E488" s="56" t="s">
        <v>596</v>
      </c>
      <c r="F488" s="56">
        <v>6066</v>
      </c>
      <c r="G488" s="56" t="s">
        <v>282</v>
      </c>
      <c r="H488" s="56">
        <v>6165</v>
      </c>
      <c r="I488" s="56" t="s">
        <v>635</v>
      </c>
      <c r="J488" s="108">
        <v>4</v>
      </c>
      <c r="K488" s="107">
        <v>109</v>
      </c>
      <c r="L488" s="79" t="s">
        <v>659</v>
      </c>
    </row>
    <row r="489" spans="1:12" ht="13.5" customHeight="1">
      <c r="A489" s="91">
        <v>10906166</v>
      </c>
      <c r="B489" s="99" t="s">
        <v>1634</v>
      </c>
      <c r="C489" s="98" t="s">
        <v>655</v>
      </c>
      <c r="D489" s="56">
        <v>1000</v>
      </c>
      <c r="E489" s="56" t="s">
        <v>596</v>
      </c>
      <c r="F489" s="56">
        <v>6166</v>
      </c>
      <c r="G489" s="56" t="s">
        <v>282</v>
      </c>
      <c r="H489" s="56">
        <v>6265</v>
      </c>
      <c r="I489" s="56" t="s">
        <v>636</v>
      </c>
      <c r="J489" s="108">
        <v>4</v>
      </c>
      <c r="K489" s="107">
        <v>109</v>
      </c>
      <c r="L489" s="79" t="s">
        <v>659</v>
      </c>
    </row>
    <row r="490" spans="1:12" ht="13.5" customHeight="1">
      <c r="A490" s="91">
        <v>10906266</v>
      </c>
      <c r="B490" s="99" t="s">
        <v>1635</v>
      </c>
      <c r="C490" s="98" t="s">
        <v>655</v>
      </c>
      <c r="D490" s="56">
        <v>1000</v>
      </c>
      <c r="E490" s="56" t="s">
        <v>596</v>
      </c>
      <c r="F490" s="56">
        <v>6266</v>
      </c>
      <c r="G490" s="56" t="s">
        <v>282</v>
      </c>
      <c r="H490" s="56">
        <v>6365</v>
      </c>
      <c r="I490" s="56" t="s">
        <v>637</v>
      </c>
      <c r="J490" s="108">
        <v>4</v>
      </c>
      <c r="K490" s="107">
        <v>109</v>
      </c>
      <c r="L490" s="79" t="s">
        <v>659</v>
      </c>
    </row>
    <row r="491" spans="1:12" ht="13.5" customHeight="1">
      <c r="A491" s="91">
        <v>10906366</v>
      </c>
      <c r="B491" s="99" t="s">
        <v>1636</v>
      </c>
      <c r="C491" s="98" t="s">
        <v>655</v>
      </c>
      <c r="D491" s="56">
        <v>1000</v>
      </c>
      <c r="E491" s="56" t="s">
        <v>596</v>
      </c>
      <c r="F491" s="56">
        <v>6366</v>
      </c>
      <c r="G491" s="56" t="s">
        <v>282</v>
      </c>
      <c r="H491" s="56">
        <v>6465</v>
      </c>
      <c r="I491" s="56" t="s">
        <v>638</v>
      </c>
      <c r="J491" s="108">
        <v>4</v>
      </c>
      <c r="K491" s="107">
        <v>109</v>
      </c>
      <c r="L491" s="79" t="s">
        <v>659</v>
      </c>
    </row>
    <row r="492" spans="1:12" ht="13.5" customHeight="1">
      <c r="A492" s="91">
        <v>10906466</v>
      </c>
      <c r="B492" s="99" t="s">
        <v>1637</v>
      </c>
      <c r="C492" s="98" t="s">
        <v>655</v>
      </c>
      <c r="D492" s="56">
        <v>1000</v>
      </c>
      <c r="E492" s="56" t="s">
        <v>596</v>
      </c>
      <c r="F492" s="56">
        <v>6466</v>
      </c>
      <c r="G492" s="56" t="s">
        <v>282</v>
      </c>
      <c r="H492" s="56">
        <v>6565</v>
      </c>
      <c r="I492" s="56" t="s">
        <v>639</v>
      </c>
      <c r="J492" s="108">
        <v>4</v>
      </c>
      <c r="K492" s="107">
        <v>109</v>
      </c>
      <c r="L492" s="79" t="s">
        <v>659</v>
      </c>
    </row>
    <row r="493" spans="1:12" ht="13.5" customHeight="1">
      <c r="A493" s="91">
        <v>10906566</v>
      </c>
      <c r="B493" s="99" t="s">
        <v>1638</v>
      </c>
      <c r="C493" s="98" t="s">
        <v>655</v>
      </c>
      <c r="D493" s="56">
        <v>1000</v>
      </c>
      <c r="E493" s="56" t="s">
        <v>596</v>
      </c>
      <c r="F493" s="56">
        <v>6566</v>
      </c>
      <c r="G493" s="56" t="s">
        <v>282</v>
      </c>
      <c r="H493" s="56">
        <v>6665</v>
      </c>
      <c r="I493" s="56" t="s">
        <v>640</v>
      </c>
      <c r="J493" s="108">
        <v>4</v>
      </c>
      <c r="K493" s="107">
        <v>109</v>
      </c>
      <c r="L493" s="79" t="s">
        <v>659</v>
      </c>
    </row>
    <row r="494" spans="1:12" ht="13.5" customHeight="1">
      <c r="A494" s="91">
        <v>10906666</v>
      </c>
      <c r="B494" s="99" t="s">
        <v>1639</v>
      </c>
      <c r="C494" s="98" t="s">
        <v>655</v>
      </c>
      <c r="D494" s="56">
        <v>1000</v>
      </c>
      <c r="E494" s="56" t="s">
        <v>596</v>
      </c>
      <c r="F494" s="56">
        <v>6666</v>
      </c>
      <c r="G494" s="56" t="s">
        <v>282</v>
      </c>
      <c r="H494" s="56">
        <v>6765</v>
      </c>
      <c r="I494" s="56" t="s">
        <v>641</v>
      </c>
      <c r="J494" s="108">
        <v>4</v>
      </c>
      <c r="K494" s="107">
        <v>109</v>
      </c>
      <c r="L494" s="79" t="s">
        <v>659</v>
      </c>
    </row>
    <row r="495" spans="1:12" ht="13.5" customHeight="1">
      <c r="A495" s="91">
        <v>10906766</v>
      </c>
      <c r="B495" s="99" t="s">
        <v>1640</v>
      </c>
      <c r="C495" s="98" t="s">
        <v>655</v>
      </c>
      <c r="D495" s="56">
        <v>1000</v>
      </c>
      <c r="E495" s="56" t="s">
        <v>596</v>
      </c>
      <c r="F495" s="56">
        <v>6766</v>
      </c>
      <c r="G495" s="56" t="s">
        <v>282</v>
      </c>
      <c r="H495" s="56">
        <v>6865</v>
      </c>
      <c r="I495" s="56" t="s">
        <v>642</v>
      </c>
      <c r="J495" s="108">
        <v>4</v>
      </c>
      <c r="K495" s="107">
        <v>109</v>
      </c>
      <c r="L495" s="79" t="s">
        <v>659</v>
      </c>
    </row>
    <row r="496" spans="1:12" ht="13.5" customHeight="1">
      <c r="A496" s="91">
        <v>10906866</v>
      </c>
      <c r="B496" s="99" t="s">
        <v>1641</v>
      </c>
      <c r="C496" s="98" t="s">
        <v>655</v>
      </c>
      <c r="D496" s="56">
        <v>1000</v>
      </c>
      <c r="E496" s="56" t="s">
        <v>596</v>
      </c>
      <c r="F496" s="56">
        <v>6866</v>
      </c>
      <c r="G496" s="56" t="s">
        <v>282</v>
      </c>
      <c r="H496" s="56">
        <v>6965</v>
      </c>
      <c r="I496" s="56" t="s">
        <v>643</v>
      </c>
      <c r="J496" s="108">
        <v>5</v>
      </c>
      <c r="K496" s="107">
        <v>109</v>
      </c>
      <c r="L496" s="79" t="s">
        <v>659</v>
      </c>
    </row>
    <row r="497" spans="1:12" ht="13.5" customHeight="1">
      <c r="A497" s="91">
        <v>10906966</v>
      </c>
      <c r="B497" s="99" t="s">
        <v>1642</v>
      </c>
      <c r="C497" s="98" t="s">
        <v>655</v>
      </c>
      <c r="D497" s="56">
        <v>1000</v>
      </c>
      <c r="E497" s="56" t="s">
        <v>596</v>
      </c>
      <c r="F497" s="56">
        <v>6966</v>
      </c>
      <c r="G497" s="56" t="s">
        <v>282</v>
      </c>
      <c r="H497" s="56">
        <v>7065</v>
      </c>
      <c r="I497" s="56" t="s">
        <v>644</v>
      </c>
      <c r="J497" s="108">
        <v>5</v>
      </c>
      <c r="K497" s="107">
        <v>109</v>
      </c>
      <c r="L497" s="79" t="s">
        <v>659</v>
      </c>
    </row>
    <row r="498" spans="1:12" ht="13.5" customHeight="1">
      <c r="A498" s="91">
        <v>10907066</v>
      </c>
      <c r="B498" s="99" t="s">
        <v>1643</v>
      </c>
      <c r="C498" s="98" t="s">
        <v>655</v>
      </c>
      <c r="D498" s="56">
        <v>1000</v>
      </c>
      <c r="E498" s="56" t="s">
        <v>596</v>
      </c>
      <c r="F498" s="56">
        <v>7066</v>
      </c>
      <c r="G498" s="56" t="s">
        <v>282</v>
      </c>
      <c r="H498" s="56">
        <v>7165</v>
      </c>
      <c r="I498" s="56" t="s">
        <v>645</v>
      </c>
      <c r="J498" s="108">
        <v>5</v>
      </c>
      <c r="K498" s="107">
        <v>109</v>
      </c>
      <c r="L498" s="79" t="s">
        <v>659</v>
      </c>
    </row>
    <row r="499" spans="1:12" ht="13.5" customHeight="1">
      <c r="A499" s="91">
        <v>10907166</v>
      </c>
      <c r="B499" s="99" t="s">
        <v>1644</v>
      </c>
      <c r="C499" s="98" t="s">
        <v>655</v>
      </c>
      <c r="D499" s="56">
        <v>1000</v>
      </c>
      <c r="E499" s="56" t="s">
        <v>596</v>
      </c>
      <c r="F499" s="56">
        <v>7166</v>
      </c>
      <c r="G499" s="56" t="s">
        <v>282</v>
      </c>
      <c r="H499" s="56">
        <v>7265</v>
      </c>
      <c r="I499" s="56" t="s">
        <v>646</v>
      </c>
      <c r="J499" s="108">
        <v>5</v>
      </c>
      <c r="K499" s="107">
        <v>109</v>
      </c>
      <c r="L499" s="79" t="s">
        <v>659</v>
      </c>
    </row>
    <row r="500" spans="1:12" ht="13.5" customHeight="1">
      <c r="A500" s="91">
        <v>10907266</v>
      </c>
      <c r="B500" s="99" t="s">
        <v>1645</v>
      </c>
      <c r="C500" s="98" t="s">
        <v>655</v>
      </c>
      <c r="D500" s="56">
        <v>1000</v>
      </c>
      <c r="E500" s="56" t="s">
        <v>596</v>
      </c>
      <c r="F500" s="56">
        <v>7266</v>
      </c>
      <c r="G500" s="56" t="s">
        <v>282</v>
      </c>
      <c r="H500" s="56">
        <v>7365</v>
      </c>
      <c r="I500" s="56" t="s">
        <v>647</v>
      </c>
      <c r="J500" s="108">
        <v>5</v>
      </c>
      <c r="K500" s="107">
        <v>109</v>
      </c>
      <c r="L500" s="79" t="s">
        <v>659</v>
      </c>
    </row>
    <row r="501" spans="1:12" ht="15" customHeight="1">
      <c r="A501" s="112">
        <v>10907366</v>
      </c>
      <c r="B501" s="112" t="s">
        <v>1646</v>
      </c>
      <c r="C501" s="81" t="s">
        <v>655</v>
      </c>
      <c r="D501" s="81">
        <v>1000</v>
      </c>
      <c r="E501" s="81" t="s">
        <v>596</v>
      </c>
      <c r="F501" s="81">
        <v>7366</v>
      </c>
      <c r="G501" s="81" t="s">
        <v>282</v>
      </c>
      <c r="H501" s="81">
        <v>7465</v>
      </c>
      <c r="I501" s="81" t="s">
        <v>648</v>
      </c>
      <c r="J501" s="81">
        <v>5</v>
      </c>
      <c r="K501" s="81">
        <v>109</v>
      </c>
      <c r="L501" s="81" t="s">
        <v>663</v>
      </c>
    </row>
    <row r="502" spans="1:12" ht="15" customHeight="1">
      <c r="A502" s="112">
        <v>10907466</v>
      </c>
      <c r="B502" s="112" t="s">
        <v>1647</v>
      </c>
      <c r="C502" s="81" t="s">
        <v>655</v>
      </c>
      <c r="D502" s="81">
        <v>1000</v>
      </c>
      <c r="E502" s="81" t="s">
        <v>596</v>
      </c>
      <c r="F502" s="81">
        <v>7466</v>
      </c>
      <c r="G502" s="81" t="s">
        <v>282</v>
      </c>
      <c r="H502" s="81">
        <v>7565</v>
      </c>
      <c r="I502" s="81" t="s">
        <v>649</v>
      </c>
      <c r="J502" s="81">
        <v>5</v>
      </c>
      <c r="K502" s="81">
        <v>109</v>
      </c>
      <c r="L502" s="81" t="s">
        <v>663</v>
      </c>
    </row>
    <row r="503" spans="1:12" ht="15" customHeight="1">
      <c r="A503" s="112">
        <v>10907566</v>
      </c>
      <c r="B503" s="112" t="s">
        <v>1648</v>
      </c>
      <c r="C503" s="81" t="s">
        <v>655</v>
      </c>
      <c r="D503" s="81">
        <v>1000</v>
      </c>
      <c r="E503" s="81" t="s">
        <v>596</v>
      </c>
      <c r="F503" s="81">
        <v>7566</v>
      </c>
      <c r="G503" s="81" t="s">
        <v>282</v>
      </c>
      <c r="H503" s="81">
        <v>7665</v>
      </c>
      <c r="I503" s="81" t="s">
        <v>650</v>
      </c>
      <c r="J503" s="81">
        <v>5</v>
      </c>
      <c r="K503" s="81">
        <v>109</v>
      </c>
      <c r="L503" s="81" t="s">
        <v>663</v>
      </c>
    </row>
    <row r="504" spans="1:12" ht="15" customHeight="1">
      <c r="A504" s="112">
        <v>10907666</v>
      </c>
      <c r="B504" s="112" t="s">
        <v>1649</v>
      </c>
      <c r="C504" s="81" t="s">
        <v>655</v>
      </c>
      <c r="D504" s="81">
        <v>1000</v>
      </c>
      <c r="E504" s="81" t="s">
        <v>596</v>
      </c>
      <c r="F504" s="81">
        <v>7666</v>
      </c>
      <c r="G504" s="81" t="s">
        <v>282</v>
      </c>
      <c r="H504" s="81">
        <v>7765</v>
      </c>
      <c r="I504" s="81" t="s">
        <v>651</v>
      </c>
      <c r="J504" s="81">
        <v>6</v>
      </c>
      <c r="K504" s="81">
        <v>109</v>
      </c>
      <c r="L504" s="81" t="s">
        <v>663</v>
      </c>
    </row>
    <row r="505" spans="1:12" ht="15" customHeight="1">
      <c r="A505" s="112">
        <v>10907766</v>
      </c>
      <c r="B505" s="112" t="s">
        <v>1650</v>
      </c>
      <c r="C505" s="81" t="s">
        <v>655</v>
      </c>
      <c r="D505" s="81">
        <v>1000</v>
      </c>
      <c r="E505" s="81" t="s">
        <v>596</v>
      </c>
      <c r="F505" s="81">
        <v>7766</v>
      </c>
      <c r="G505" s="81" t="s">
        <v>282</v>
      </c>
      <c r="H505" s="81">
        <v>7865</v>
      </c>
      <c r="I505" s="81" t="s">
        <v>652</v>
      </c>
      <c r="J505" s="81">
        <v>6</v>
      </c>
      <c r="K505" s="81">
        <v>109</v>
      </c>
      <c r="L505" s="81" t="s">
        <v>663</v>
      </c>
    </row>
    <row r="506" spans="1:12" ht="15" customHeight="1">
      <c r="A506" s="112">
        <v>10907866</v>
      </c>
      <c r="B506" s="112" t="s">
        <v>1651</v>
      </c>
      <c r="C506" s="81" t="s">
        <v>655</v>
      </c>
      <c r="D506" s="81">
        <v>1000</v>
      </c>
      <c r="E506" s="81" t="s">
        <v>596</v>
      </c>
      <c r="F506" s="81">
        <v>7866</v>
      </c>
      <c r="G506" s="81" t="s">
        <v>282</v>
      </c>
      <c r="H506" s="81">
        <v>7965</v>
      </c>
      <c r="I506" s="81" t="s">
        <v>653</v>
      </c>
      <c r="J506" s="81">
        <v>6</v>
      </c>
      <c r="K506" s="81">
        <v>109</v>
      </c>
      <c r="L506" s="81" t="s">
        <v>663</v>
      </c>
    </row>
    <row r="507" spans="1:12" ht="15" customHeight="1">
      <c r="A507" s="112">
        <v>10907966</v>
      </c>
      <c r="B507" s="112" t="s">
        <v>1652</v>
      </c>
      <c r="C507" s="81" t="s">
        <v>655</v>
      </c>
      <c r="D507" s="81">
        <v>1000</v>
      </c>
      <c r="E507" s="81" t="s">
        <v>596</v>
      </c>
      <c r="F507" s="81">
        <v>7966</v>
      </c>
      <c r="G507" s="81" t="s">
        <v>282</v>
      </c>
      <c r="H507" s="81">
        <v>8065</v>
      </c>
      <c r="I507" s="81" t="s">
        <v>654</v>
      </c>
      <c r="J507" s="81">
        <v>6</v>
      </c>
      <c r="K507" s="81">
        <v>109</v>
      </c>
      <c r="L507" s="81" t="s">
        <v>663</v>
      </c>
    </row>
    <row r="508" spans="1:12" ht="15" customHeight="1">
      <c r="A508" s="112">
        <v>11000000</v>
      </c>
      <c r="B508" s="112" t="s">
        <v>1653</v>
      </c>
      <c r="C508" s="81" t="s">
        <v>655</v>
      </c>
      <c r="D508" s="81">
        <v>1000</v>
      </c>
      <c r="E508" s="81" t="s">
        <v>264</v>
      </c>
      <c r="F508" s="81">
        <v>0</v>
      </c>
      <c r="G508" s="81" t="s">
        <v>282</v>
      </c>
      <c r="H508" s="81">
        <v>2630</v>
      </c>
      <c r="I508" s="81" t="s">
        <v>597</v>
      </c>
      <c r="J508" s="81">
        <v>0</v>
      </c>
      <c r="K508" s="81">
        <v>110</v>
      </c>
      <c r="L508" s="81" t="s">
        <v>663</v>
      </c>
    </row>
    <row r="509" spans="1:12" ht="15" customHeight="1">
      <c r="A509" s="112">
        <v>11002631</v>
      </c>
      <c r="B509" s="112" t="s">
        <v>1654</v>
      </c>
      <c r="C509" s="81" t="s">
        <v>655</v>
      </c>
      <c r="D509" s="81">
        <v>1000</v>
      </c>
      <c r="E509" s="81" t="s">
        <v>264</v>
      </c>
      <c r="F509" s="81">
        <v>2631</v>
      </c>
      <c r="G509" s="81" t="s">
        <v>282</v>
      </c>
      <c r="H509" s="81">
        <v>2700</v>
      </c>
      <c r="I509" s="81" t="s">
        <v>599</v>
      </c>
      <c r="J509" s="81">
        <v>0</v>
      </c>
      <c r="K509" s="81">
        <v>110</v>
      </c>
      <c r="L509" s="81" t="s">
        <v>663</v>
      </c>
    </row>
    <row r="510" spans="1:12" ht="15" customHeight="1">
      <c r="A510" s="112">
        <v>11002701</v>
      </c>
      <c r="B510" s="112" t="s">
        <v>1655</v>
      </c>
      <c r="C510" s="81" t="s">
        <v>655</v>
      </c>
      <c r="D510" s="81">
        <v>1000</v>
      </c>
      <c r="E510" s="81" t="s">
        <v>264</v>
      </c>
      <c r="F510" s="81">
        <v>2701</v>
      </c>
      <c r="G510" s="81" t="s">
        <v>282</v>
      </c>
      <c r="H510" s="81">
        <v>2750</v>
      </c>
      <c r="I510" s="81" t="s">
        <v>600</v>
      </c>
      <c r="J510" s="81">
        <v>0</v>
      </c>
      <c r="K510" s="81">
        <v>110</v>
      </c>
      <c r="L510" s="81" t="s">
        <v>663</v>
      </c>
    </row>
    <row r="511" spans="1:12" ht="15" customHeight="1">
      <c r="A511" s="112">
        <v>11002751</v>
      </c>
      <c r="B511" s="112" t="s">
        <v>1656</v>
      </c>
      <c r="C511" s="81" t="s">
        <v>655</v>
      </c>
      <c r="D511" s="81">
        <v>1000</v>
      </c>
      <c r="E511" s="81" t="s">
        <v>264</v>
      </c>
      <c r="F511" s="81">
        <v>2751</v>
      </c>
      <c r="G511" s="81" t="s">
        <v>282</v>
      </c>
      <c r="H511" s="81">
        <v>2850</v>
      </c>
      <c r="I511" s="81" t="s">
        <v>602</v>
      </c>
      <c r="J511" s="81">
        <v>0</v>
      </c>
      <c r="K511" s="81">
        <v>110</v>
      </c>
      <c r="L511" s="81" t="s">
        <v>663</v>
      </c>
    </row>
    <row r="512" spans="1:12" ht="15" customHeight="1">
      <c r="A512" s="112">
        <v>11002851</v>
      </c>
      <c r="B512" s="112" t="s">
        <v>1657</v>
      </c>
      <c r="C512" s="81" t="s">
        <v>655</v>
      </c>
      <c r="D512" s="81">
        <v>1000</v>
      </c>
      <c r="E512" s="81" t="s">
        <v>264</v>
      </c>
      <c r="F512" s="81">
        <v>2851</v>
      </c>
      <c r="G512" s="81" t="s">
        <v>282</v>
      </c>
      <c r="H512" s="81">
        <v>2950</v>
      </c>
      <c r="I512" s="81" t="s">
        <v>603</v>
      </c>
      <c r="J512" s="81">
        <v>0</v>
      </c>
      <c r="K512" s="81">
        <v>110</v>
      </c>
      <c r="L512" s="81" t="s">
        <v>663</v>
      </c>
    </row>
    <row r="513" spans="1:12" ht="15" customHeight="1">
      <c r="A513" s="112">
        <v>11002951</v>
      </c>
      <c r="B513" s="112" t="s">
        <v>1658</v>
      </c>
      <c r="C513" s="81" t="s">
        <v>655</v>
      </c>
      <c r="D513" s="81">
        <v>1000</v>
      </c>
      <c r="E513" s="81" t="s">
        <v>264</v>
      </c>
      <c r="F513" s="81">
        <v>2951</v>
      </c>
      <c r="G513" s="81" t="s">
        <v>282</v>
      </c>
      <c r="H513" s="81">
        <v>3050</v>
      </c>
      <c r="I513" s="81" t="s">
        <v>604</v>
      </c>
      <c r="J513" s="81">
        <v>0</v>
      </c>
      <c r="K513" s="81">
        <v>110</v>
      </c>
      <c r="L513" s="81" t="s">
        <v>663</v>
      </c>
    </row>
    <row r="514" spans="1:12" ht="15" customHeight="1">
      <c r="A514" s="112">
        <v>11003051</v>
      </c>
      <c r="B514" s="112" t="s">
        <v>1659</v>
      </c>
      <c r="C514" s="81" t="s">
        <v>655</v>
      </c>
      <c r="D514" s="81">
        <v>1000</v>
      </c>
      <c r="E514" s="81" t="s">
        <v>264</v>
      </c>
      <c r="F514" s="81">
        <v>3051</v>
      </c>
      <c r="G514" s="81" t="s">
        <v>282</v>
      </c>
      <c r="H514" s="81">
        <v>3150</v>
      </c>
      <c r="I514" s="81" t="s">
        <v>605</v>
      </c>
      <c r="J514" s="81">
        <v>0</v>
      </c>
      <c r="K514" s="81">
        <v>110</v>
      </c>
      <c r="L514" s="81" t="s">
        <v>663</v>
      </c>
    </row>
    <row r="515" spans="1:12" ht="15" customHeight="1">
      <c r="A515" s="112">
        <v>11003151</v>
      </c>
      <c r="B515" s="112" t="s">
        <v>1660</v>
      </c>
      <c r="C515" s="81" t="s">
        <v>655</v>
      </c>
      <c r="D515" s="81">
        <v>1000</v>
      </c>
      <c r="E515" s="81" t="s">
        <v>264</v>
      </c>
      <c r="F515" s="81">
        <v>3151</v>
      </c>
      <c r="G515" s="81" t="s">
        <v>282</v>
      </c>
      <c r="H515" s="81">
        <v>3250</v>
      </c>
      <c r="I515" s="81" t="s">
        <v>606</v>
      </c>
      <c r="J515" s="81">
        <v>0</v>
      </c>
      <c r="K515" s="81">
        <v>110</v>
      </c>
      <c r="L515" s="81" t="s">
        <v>663</v>
      </c>
    </row>
    <row r="516" spans="1:12" ht="15" customHeight="1">
      <c r="A516" s="112">
        <v>11003251</v>
      </c>
      <c r="B516" s="112" t="s">
        <v>1661</v>
      </c>
      <c r="C516" s="81" t="s">
        <v>655</v>
      </c>
      <c r="D516" s="81">
        <v>1000</v>
      </c>
      <c r="E516" s="81" t="s">
        <v>264</v>
      </c>
      <c r="F516" s="81">
        <v>3251</v>
      </c>
      <c r="G516" s="81" t="s">
        <v>282</v>
      </c>
      <c r="H516" s="81">
        <v>3350</v>
      </c>
      <c r="I516" s="81" t="s">
        <v>607</v>
      </c>
      <c r="J516" s="81">
        <v>0</v>
      </c>
      <c r="K516" s="81">
        <v>110</v>
      </c>
      <c r="L516" s="81" t="s">
        <v>663</v>
      </c>
    </row>
    <row r="517" spans="1:12" ht="15" customHeight="1">
      <c r="A517" s="112">
        <v>11003351</v>
      </c>
      <c r="B517" s="112" t="s">
        <v>1662</v>
      </c>
      <c r="C517" s="81" t="s">
        <v>655</v>
      </c>
      <c r="D517" s="81">
        <v>1000</v>
      </c>
      <c r="E517" s="81" t="s">
        <v>264</v>
      </c>
      <c r="F517" s="81">
        <v>3351</v>
      </c>
      <c r="G517" s="81" t="s">
        <v>282</v>
      </c>
      <c r="H517" s="81">
        <v>3450</v>
      </c>
      <c r="I517" s="81" t="s">
        <v>608</v>
      </c>
      <c r="J517" s="81">
        <v>0</v>
      </c>
      <c r="K517" s="81">
        <v>110</v>
      </c>
      <c r="L517" s="81" t="s">
        <v>663</v>
      </c>
    </row>
    <row r="518" spans="1:12" ht="15" customHeight="1">
      <c r="A518" s="112">
        <v>11003451</v>
      </c>
      <c r="B518" s="112" t="s">
        <v>1663</v>
      </c>
      <c r="C518" s="81" t="s">
        <v>655</v>
      </c>
      <c r="D518" s="81">
        <v>1000</v>
      </c>
      <c r="E518" s="81" t="s">
        <v>264</v>
      </c>
      <c r="F518" s="81">
        <v>3451</v>
      </c>
      <c r="G518" s="81" t="s">
        <v>282</v>
      </c>
      <c r="H518" s="81">
        <v>3550</v>
      </c>
      <c r="I518" s="81" t="s">
        <v>609</v>
      </c>
      <c r="J518" s="81">
        <v>0</v>
      </c>
      <c r="K518" s="81">
        <v>110</v>
      </c>
      <c r="L518" s="81" t="s">
        <v>663</v>
      </c>
    </row>
    <row r="519" spans="1:12" ht="15" customHeight="1">
      <c r="A519" s="112">
        <v>11003551</v>
      </c>
      <c r="B519" s="112" t="s">
        <v>1664</v>
      </c>
      <c r="C519" s="81" t="s">
        <v>655</v>
      </c>
      <c r="D519" s="81">
        <v>1000</v>
      </c>
      <c r="E519" s="81" t="s">
        <v>264</v>
      </c>
      <c r="F519" s="81">
        <v>3551</v>
      </c>
      <c r="G519" s="81" t="s">
        <v>282</v>
      </c>
      <c r="H519" s="81">
        <v>3650</v>
      </c>
      <c r="I519" s="81" t="s">
        <v>610</v>
      </c>
      <c r="J519" s="81">
        <v>0</v>
      </c>
      <c r="K519" s="81">
        <v>110</v>
      </c>
      <c r="L519" s="81" t="s">
        <v>663</v>
      </c>
    </row>
    <row r="520" spans="1:12" ht="15" customHeight="1">
      <c r="A520" s="112">
        <v>11003651</v>
      </c>
      <c r="B520" s="112" t="s">
        <v>1665</v>
      </c>
      <c r="C520" s="81" t="s">
        <v>655</v>
      </c>
      <c r="D520" s="81">
        <v>1000</v>
      </c>
      <c r="E520" s="81" t="s">
        <v>264</v>
      </c>
      <c r="F520" s="81">
        <v>3651</v>
      </c>
      <c r="G520" s="81" t="s">
        <v>282</v>
      </c>
      <c r="H520" s="81">
        <v>3750</v>
      </c>
      <c r="I520" s="81" t="s">
        <v>611</v>
      </c>
      <c r="J520" s="81">
        <v>1</v>
      </c>
      <c r="K520" s="81">
        <v>110</v>
      </c>
      <c r="L520" s="81" t="s">
        <v>663</v>
      </c>
    </row>
    <row r="521" spans="1:12" ht="15" customHeight="1">
      <c r="A521" s="112">
        <v>11003751</v>
      </c>
      <c r="B521" s="112" t="s">
        <v>1666</v>
      </c>
      <c r="C521" s="81" t="s">
        <v>655</v>
      </c>
      <c r="D521" s="81">
        <v>1000</v>
      </c>
      <c r="E521" s="81" t="s">
        <v>264</v>
      </c>
      <c r="F521" s="81">
        <v>3751</v>
      </c>
      <c r="G521" s="81" t="s">
        <v>282</v>
      </c>
      <c r="H521" s="81">
        <v>3850</v>
      </c>
      <c r="I521" s="81" t="s">
        <v>612</v>
      </c>
      <c r="J521" s="81">
        <v>1</v>
      </c>
      <c r="K521" s="81">
        <v>110</v>
      </c>
      <c r="L521" s="81" t="s">
        <v>663</v>
      </c>
    </row>
    <row r="522" spans="1:12" ht="15" customHeight="1">
      <c r="A522" s="112">
        <v>11003851</v>
      </c>
      <c r="B522" s="112" t="s">
        <v>1667</v>
      </c>
      <c r="C522" s="81" t="s">
        <v>655</v>
      </c>
      <c r="D522" s="81">
        <v>1000</v>
      </c>
      <c r="E522" s="81" t="s">
        <v>264</v>
      </c>
      <c r="F522" s="81">
        <v>3851</v>
      </c>
      <c r="G522" s="81" t="s">
        <v>282</v>
      </c>
      <c r="H522" s="81">
        <v>3950</v>
      </c>
      <c r="I522" s="81" t="s">
        <v>613</v>
      </c>
      <c r="J522" s="81">
        <v>1</v>
      </c>
      <c r="K522" s="81">
        <v>110</v>
      </c>
      <c r="L522" s="81" t="s">
        <v>663</v>
      </c>
    </row>
    <row r="523" spans="1:12" ht="15" customHeight="1">
      <c r="A523" s="112">
        <v>11003951</v>
      </c>
      <c r="B523" s="112" t="s">
        <v>1668</v>
      </c>
      <c r="C523" s="81" t="s">
        <v>655</v>
      </c>
      <c r="D523" s="81">
        <v>1000</v>
      </c>
      <c r="E523" s="81" t="s">
        <v>264</v>
      </c>
      <c r="F523" s="81">
        <v>3951</v>
      </c>
      <c r="G523" s="81" t="s">
        <v>282</v>
      </c>
      <c r="H523" s="81">
        <v>4050</v>
      </c>
      <c r="I523" s="81" t="s">
        <v>614</v>
      </c>
      <c r="J523" s="81">
        <v>1</v>
      </c>
      <c r="K523" s="81">
        <v>110</v>
      </c>
      <c r="L523" s="81" t="s">
        <v>663</v>
      </c>
    </row>
    <row r="524" spans="1:12" ht="15" customHeight="1">
      <c r="A524" s="112">
        <v>11004051</v>
      </c>
      <c r="B524" s="112" t="s">
        <v>1669</v>
      </c>
      <c r="C524" s="81" t="s">
        <v>655</v>
      </c>
      <c r="D524" s="81">
        <v>1000</v>
      </c>
      <c r="E524" s="81" t="s">
        <v>264</v>
      </c>
      <c r="F524" s="81">
        <v>4051</v>
      </c>
      <c r="G524" s="81" t="s">
        <v>282</v>
      </c>
      <c r="H524" s="81">
        <v>4150</v>
      </c>
      <c r="I524" s="81" t="s">
        <v>615</v>
      </c>
      <c r="J524" s="81">
        <v>1</v>
      </c>
      <c r="K524" s="81">
        <v>110</v>
      </c>
      <c r="L524" s="81" t="s">
        <v>663</v>
      </c>
    </row>
    <row r="525" spans="1:12" ht="15" customHeight="1">
      <c r="A525" s="112">
        <v>11004151</v>
      </c>
      <c r="B525" s="112" t="s">
        <v>1670</v>
      </c>
      <c r="C525" s="81" t="s">
        <v>655</v>
      </c>
      <c r="D525" s="81">
        <v>1000</v>
      </c>
      <c r="E525" s="81" t="s">
        <v>264</v>
      </c>
      <c r="F525" s="81">
        <v>4151</v>
      </c>
      <c r="G525" s="81" t="s">
        <v>282</v>
      </c>
      <c r="H525" s="81">
        <v>4250</v>
      </c>
      <c r="I525" s="81" t="s">
        <v>616</v>
      </c>
      <c r="J525" s="81">
        <v>1</v>
      </c>
      <c r="K525" s="81">
        <v>110</v>
      </c>
      <c r="L525" s="81" t="s">
        <v>663</v>
      </c>
    </row>
    <row r="526" spans="1:12" ht="15" customHeight="1">
      <c r="A526" s="112">
        <v>11004251</v>
      </c>
      <c r="B526" s="112" t="s">
        <v>1671</v>
      </c>
      <c r="C526" s="81" t="s">
        <v>655</v>
      </c>
      <c r="D526" s="81">
        <v>1000</v>
      </c>
      <c r="E526" s="81" t="s">
        <v>264</v>
      </c>
      <c r="F526" s="81">
        <v>4251</v>
      </c>
      <c r="G526" s="81" t="s">
        <v>282</v>
      </c>
      <c r="H526" s="81">
        <v>4350</v>
      </c>
      <c r="I526" s="81" t="s">
        <v>617</v>
      </c>
      <c r="J526" s="81">
        <v>1</v>
      </c>
      <c r="K526" s="81">
        <v>110</v>
      </c>
      <c r="L526" s="81" t="s">
        <v>663</v>
      </c>
    </row>
    <row r="527" spans="1:12" ht="15" customHeight="1">
      <c r="A527" s="112">
        <v>11004351</v>
      </c>
      <c r="B527" s="112" t="s">
        <v>1672</v>
      </c>
      <c r="C527" s="81" t="s">
        <v>655</v>
      </c>
      <c r="D527" s="81">
        <v>1000</v>
      </c>
      <c r="E527" s="81" t="s">
        <v>264</v>
      </c>
      <c r="F527" s="81">
        <v>4351</v>
      </c>
      <c r="G527" s="81" t="s">
        <v>282</v>
      </c>
      <c r="H527" s="81">
        <v>4450</v>
      </c>
      <c r="I527" s="81" t="s">
        <v>618</v>
      </c>
      <c r="J527" s="81">
        <v>1</v>
      </c>
      <c r="K527" s="81">
        <v>110</v>
      </c>
      <c r="L527" s="81" t="s">
        <v>663</v>
      </c>
    </row>
    <row r="528" spans="1:12" ht="15" customHeight="1">
      <c r="A528" s="112">
        <v>11004451</v>
      </c>
      <c r="B528" s="112" t="s">
        <v>1673</v>
      </c>
      <c r="C528" s="81" t="s">
        <v>655</v>
      </c>
      <c r="D528" s="81">
        <v>1000</v>
      </c>
      <c r="E528" s="81" t="s">
        <v>264</v>
      </c>
      <c r="F528" s="81">
        <v>4451</v>
      </c>
      <c r="G528" s="81" t="s">
        <v>282</v>
      </c>
      <c r="H528" s="81">
        <v>4550</v>
      </c>
      <c r="I528" s="81" t="s">
        <v>619</v>
      </c>
      <c r="J528" s="81">
        <v>2</v>
      </c>
      <c r="K528" s="81">
        <v>110</v>
      </c>
      <c r="L528" s="81" t="s">
        <v>663</v>
      </c>
    </row>
    <row r="529" spans="1:12" ht="15" customHeight="1">
      <c r="A529" s="112">
        <v>11004551</v>
      </c>
      <c r="B529" s="112" t="s">
        <v>1674</v>
      </c>
      <c r="C529" s="81" t="s">
        <v>655</v>
      </c>
      <c r="D529" s="81">
        <v>1000</v>
      </c>
      <c r="E529" s="81" t="s">
        <v>264</v>
      </c>
      <c r="F529" s="81">
        <v>4551</v>
      </c>
      <c r="G529" s="81" t="s">
        <v>282</v>
      </c>
      <c r="H529" s="81">
        <v>4650</v>
      </c>
      <c r="I529" s="81" t="s">
        <v>620</v>
      </c>
      <c r="J529" s="81">
        <v>2</v>
      </c>
      <c r="K529" s="81">
        <v>110</v>
      </c>
      <c r="L529" s="81" t="s">
        <v>663</v>
      </c>
    </row>
    <row r="530" spans="1:12" ht="15" customHeight="1">
      <c r="A530" s="112">
        <v>11004651</v>
      </c>
      <c r="B530" s="112" t="s">
        <v>1675</v>
      </c>
      <c r="C530" s="81" t="s">
        <v>655</v>
      </c>
      <c r="D530" s="81">
        <v>1000</v>
      </c>
      <c r="E530" s="81" t="s">
        <v>264</v>
      </c>
      <c r="F530" s="81">
        <v>4651</v>
      </c>
      <c r="G530" s="81" t="s">
        <v>282</v>
      </c>
      <c r="H530" s="81">
        <v>4750</v>
      </c>
      <c r="I530" s="81" t="s">
        <v>621</v>
      </c>
      <c r="J530" s="81">
        <v>2</v>
      </c>
      <c r="K530" s="81">
        <v>110</v>
      </c>
      <c r="L530" s="81" t="s">
        <v>663</v>
      </c>
    </row>
    <row r="531" spans="1:12" ht="15" customHeight="1">
      <c r="A531" s="112">
        <v>11004751</v>
      </c>
      <c r="B531" s="112" t="s">
        <v>1676</v>
      </c>
      <c r="C531" s="81" t="s">
        <v>655</v>
      </c>
      <c r="D531" s="81">
        <v>1000</v>
      </c>
      <c r="E531" s="81" t="s">
        <v>264</v>
      </c>
      <c r="F531" s="81">
        <v>4751</v>
      </c>
      <c r="G531" s="81" t="s">
        <v>282</v>
      </c>
      <c r="H531" s="81">
        <v>4850</v>
      </c>
      <c r="I531" s="81" t="s">
        <v>622</v>
      </c>
      <c r="J531" s="81">
        <v>2</v>
      </c>
      <c r="K531" s="81">
        <v>110</v>
      </c>
      <c r="L531" s="81" t="s">
        <v>663</v>
      </c>
    </row>
    <row r="532" spans="1:12" ht="15" customHeight="1">
      <c r="A532" s="112">
        <v>11004851</v>
      </c>
      <c r="B532" s="112" t="s">
        <v>1677</v>
      </c>
      <c r="C532" s="81" t="s">
        <v>655</v>
      </c>
      <c r="D532" s="81">
        <v>1000</v>
      </c>
      <c r="E532" s="81" t="s">
        <v>264</v>
      </c>
      <c r="F532" s="81">
        <v>4851</v>
      </c>
      <c r="G532" s="81" t="s">
        <v>282</v>
      </c>
      <c r="H532" s="81">
        <v>4950</v>
      </c>
      <c r="I532" s="81" t="s">
        <v>623</v>
      </c>
      <c r="J532" s="81">
        <v>2</v>
      </c>
      <c r="K532" s="81">
        <v>110</v>
      </c>
      <c r="L532" s="81" t="s">
        <v>663</v>
      </c>
    </row>
    <row r="533" spans="1:12" ht="15" customHeight="1">
      <c r="A533" s="112">
        <v>11004951</v>
      </c>
      <c r="B533" s="112" t="s">
        <v>1678</v>
      </c>
      <c r="C533" s="81" t="s">
        <v>655</v>
      </c>
      <c r="D533" s="81">
        <v>1000</v>
      </c>
      <c r="E533" s="81" t="s">
        <v>264</v>
      </c>
      <c r="F533" s="81">
        <v>4951</v>
      </c>
      <c r="G533" s="81" t="s">
        <v>282</v>
      </c>
      <c r="H533" s="81">
        <v>5050</v>
      </c>
      <c r="I533" s="81" t="s">
        <v>624</v>
      </c>
      <c r="J533" s="81">
        <v>2</v>
      </c>
      <c r="K533" s="81">
        <v>110</v>
      </c>
      <c r="L533" s="81" t="s">
        <v>663</v>
      </c>
    </row>
    <row r="534" spans="1:12" ht="15" customHeight="1">
      <c r="A534" s="112">
        <v>11005051</v>
      </c>
      <c r="B534" s="112" t="s">
        <v>1679</v>
      </c>
      <c r="C534" s="81" t="s">
        <v>655</v>
      </c>
      <c r="D534" s="81">
        <v>1000</v>
      </c>
      <c r="E534" s="81" t="s">
        <v>264</v>
      </c>
      <c r="F534" s="81">
        <v>5051</v>
      </c>
      <c r="G534" s="81" t="s">
        <v>282</v>
      </c>
      <c r="H534" s="81">
        <v>5150</v>
      </c>
      <c r="I534" s="81" t="s">
        <v>625</v>
      </c>
      <c r="J534" s="81">
        <v>2</v>
      </c>
      <c r="K534" s="81">
        <v>110</v>
      </c>
      <c r="L534" s="81" t="s">
        <v>663</v>
      </c>
    </row>
    <row r="535" spans="1:12" ht="15" customHeight="1">
      <c r="A535" s="112">
        <v>11005151</v>
      </c>
      <c r="B535" s="112" t="s">
        <v>1680</v>
      </c>
      <c r="C535" s="81" t="s">
        <v>655</v>
      </c>
      <c r="D535" s="81">
        <v>1000</v>
      </c>
      <c r="E535" s="81" t="s">
        <v>264</v>
      </c>
      <c r="F535" s="81">
        <v>5151</v>
      </c>
      <c r="G535" s="81" t="s">
        <v>282</v>
      </c>
      <c r="H535" s="81">
        <v>5250</v>
      </c>
      <c r="I535" s="81" t="s">
        <v>626</v>
      </c>
      <c r="J535" s="81">
        <v>2</v>
      </c>
      <c r="K535" s="81">
        <v>110</v>
      </c>
      <c r="L535" s="81" t="s">
        <v>663</v>
      </c>
    </row>
    <row r="536" spans="1:12" ht="15" customHeight="1">
      <c r="A536" s="112">
        <v>11005251</v>
      </c>
      <c r="B536" s="112" t="s">
        <v>1681</v>
      </c>
      <c r="C536" s="81" t="s">
        <v>655</v>
      </c>
      <c r="D536" s="81">
        <v>1000</v>
      </c>
      <c r="E536" s="81" t="s">
        <v>264</v>
      </c>
      <c r="F536" s="81">
        <v>5251</v>
      </c>
      <c r="G536" s="81" t="s">
        <v>282</v>
      </c>
      <c r="H536" s="81">
        <v>5350</v>
      </c>
      <c r="I536" s="81" t="s">
        <v>627</v>
      </c>
      <c r="J536" s="81">
        <v>3</v>
      </c>
      <c r="K536" s="81">
        <v>110</v>
      </c>
      <c r="L536" s="81" t="s">
        <v>663</v>
      </c>
    </row>
    <row r="537" spans="1:12" ht="15" customHeight="1">
      <c r="A537" s="112">
        <v>11005351</v>
      </c>
      <c r="B537" s="112" t="s">
        <v>1682</v>
      </c>
      <c r="C537" s="81" t="s">
        <v>655</v>
      </c>
      <c r="D537" s="81">
        <v>1000</v>
      </c>
      <c r="E537" s="81" t="s">
        <v>264</v>
      </c>
      <c r="F537" s="81">
        <v>5351</v>
      </c>
      <c r="G537" s="81" t="s">
        <v>282</v>
      </c>
      <c r="H537" s="81">
        <v>5450</v>
      </c>
      <c r="I537" s="81" t="s">
        <v>628</v>
      </c>
      <c r="J537" s="81">
        <v>3</v>
      </c>
      <c r="K537" s="81">
        <v>110</v>
      </c>
      <c r="L537" s="81" t="s">
        <v>663</v>
      </c>
    </row>
    <row r="538" spans="1:12" ht="15" customHeight="1">
      <c r="A538" s="112">
        <v>11005451</v>
      </c>
      <c r="B538" s="112" t="s">
        <v>1683</v>
      </c>
      <c r="C538" s="81" t="s">
        <v>655</v>
      </c>
      <c r="D538" s="81">
        <v>1000</v>
      </c>
      <c r="E538" s="81" t="s">
        <v>264</v>
      </c>
      <c r="F538" s="81">
        <v>5451</v>
      </c>
      <c r="G538" s="81" t="s">
        <v>282</v>
      </c>
      <c r="H538" s="81">
        <v>5550</v>
      </c>
      <c r="I538" s="81" t="s">
        <v>629</v>
      </c>
      <c r="J538" s="81">
        <v>3</v>
      </c>
      <c r="K538" s="81">
        <v>110</v>
      </c>
      <c r="L538" s="81" t="s">
        <v>663</v>
      </c>
    </row>
    <row r="539" spans="1:12" ht="15" customHeight="1">
      <c r="A539" s="112">
        <v>11005551</v>
      </c>
      <c r="B539" s="112" t="s">
        <v>1684</v>
      </c>
      <c r="C539" s="81" t="s">
        <v>655</v>
      </c>
      <c r="D539" s="81">
        <v>1000</v>
      </c>
      <c r="E539" s="81" t="s">
        <v>264</v>
      </c>
      <c r="F539" s="81">
        <v>5551</v>
      </c>
      <c r="G539" s="81" t="s">
        <v>282</v>
      </c>
      <c r="H539" s="81">
        <v>5650</v>
      </c>
      <c r="I539" s="81" t="s">
        <v>630</v>
      </c>
      <c r="J539" s="81">
        <v>3</v>
      </c>
      <c r="K539" s="81">
        <v>110</v>
      </c>
      <c r="L539" s="81" t="s">
        <v>663</v>
      </c>
    </row>
    <row r="540" spans="1:12" ht="15" customHeight="1">
      <c r="A540" s="112">
        <v>11005651</v>
      </c>
      <c r="B540" s="112" t="s">
        <v>1685</v>
      </c>
      <c r="C540" s="81" t="s">
        <v>655</v>
      </c>
      <c r="D540" s="81">
        <v>1000</v>
      </c>
      <c r="E540" s="81" t="s">
        <v>264</v>
      </c>
      <c r="F540" s="81">
        <v>5651</v>
      </c>
      <c r="G540" s="81" t="s">
        <v>282</v>
      </c>
      <c r="H540" s="81">
        <v>5750</v>
      </c>
      <c r="I540" s="81" t="s">
        <v>631</v>
      </c>
      <c r="J540" s="81">
        <v>3</v>
      </c>
      <c r="K540" s="81">
        <v>110</v>
      </c>
      <c r="L540" s="81" t="s">
        <v>663</v>
      </c>
    </row>
    <row r="541" spans="1:12" ht="15" customHeight="1">
      <c r="A541" s="112">
        <v>11005751</v>
      </c>
      <c r="B541" s="112" t="s">
        <v>1686</v>
      </c>
      <c r="C541" s="81" t="s">
        <v>655</v>
      </c>
      <c r="D541" s="81">
        <v>1000</v>
      </c>
      <c r="E541" s="81" t="s">
        <v>264</v>
      </c>
      <c r="F541" s="81">
        <v>5751</v>
      </c>
      <c r="G541" s="81" t="s">
        <v>282</v>
      </c>
      <c r="H541" s="81">
        <v>5850</v>
      </c>
      <c r="I541" s="81" t="s">
        <v>632</v>
      </c>
      <c r="J541" s="81">
        <v>3</v>
      </c>
      <c r="K541" s="81">
        <v>110</v>
      </c>
      <c r="L541" s="81" t="s">
        <v>663</v>
      </c>
    </row>
    <row r="542" spans="1:12" ht="15" customHeight="1">
      <c r="A542" s="112">
        <v>11005851</v>
      </c>
      <c r="B542" s="112" t="s">
        <v>1687</v>
      </c>
      <c r="C542" s="81" t="s">
        <v>655</v>
      </c>
      <c r="D542" s="81">
        <v>1000</v>
      </c>
      <c r="E542" s="81" t="s">
        <v>264</v>
      </c>
      <c r="F542" s="81">
        <v>5851</v>
      </c>
      <c r="G542" s="81" t="s">
        <v>282</v>
      </c>
      <c r="H542" s="81">
        <v>5950</v>
      </c>
      <c r="I542" s="81" t="s">
        <v>633</v>
      </c>
      <c r="J542" s="81">
        <v>3</v>
      </c>
      <c r="K542" s="81">
        <v>110</v>
      </c>
      <c r="L542" s="81" t="s">
        <v>663</v>
      </c>
    </row>
    <row r="543" spans="1:12" ht="15" customHeight="1">
      <c r="A543" s="112">
        <v>11005951</v>
      </c>
      <c r="B543" s="112" t="s">
        <v>1688</v>
      </c>
      <c r="C543" s="81" t="s">
        <v>655</v>
      </c>
      <c r="D543" s="81">
        <v>1000</v>
      </c>
      <c r="E543" s="81" t="s">
        <v>264</v>
      </c>
      <c r="F543" s="81">
        <v>5951</v>
      </c>
      <c r="G543" s="81" t="s">
        <v>282</v>
      </c>
      <c r="H543" s="81">
        <v>6050</v>
      </c>
      <c r="I543" s="81" t="s">
        <v>634</v>
      </c>
      <c r="J543" s="81">
        <v>3</v>
      </c>
      <c r="K543" s="81">
        <v>110</v>
      </c>
      <c r="L543" s="81" t="s">
        <v>663</v>
      </c>
    </row>
    <row r="544" spans="1:12" ht="15" customHeight="1">
      <c r="A544" s="112">
        <v>11006051</v>
      </c>
      <c r="B544" s="112" t="s">
        <v>1689</v>
      </c>
      <c r="C544" s="81" t="s">
        <v>655</v>
      </c>
      <c r="D544" s="81">
        <v>1000</v>
      </c>
      <c r="E544" s="81" t="s">
        <v>264</v>
      </c>
      <c r="F544" s="81">
        <v>6051</v>
      </c>
      <c r="G544" s="81" t="s">
        <v>282</v>
      </c>
      <c r="H544" s="81">
        <v>6150</v>
      </c>
      <c r="I544" s="81" t="s">
        <v>635</v>
      </c>
      <c r="J544" s="81">
        <v>4</v>
      </c>
      <c r="K544" s="81">
        <v>110</v>
      </c>
      <c r="L544" s="81" t="s">
        <v>663</v>
      </c>
    </row>
    <row r="545" spans="1:12" ht="15" customHeight="1">
      <c r="A545" s="112">
        <v>11006151</v>
      </c>
      <c r="B545" s="112" t="s">
        <v>1690</v>
      </c>
      <c r="C545" s="81" t="s">
        <v>655</v>
      </c>
      <c r="D545" s="81">
        <v>1000</v>
      </c>
      <c r="E545" s="81" t="s">
        <v>264</v>
      </c>
      <c r="F545" s="81">
        <v>6151</v>
      </c>
      <c r="G545" s="81" t="s">
        <v>282</v>
      </c>
      <c r="H545" s="81">
        <v>6250</v>
      </c>
      <c r="I545" s="81" t="s">
        <v>636</v>
      </c>
      <c r="J545" s="81">
        <v>4</v>
      </c>
      <c r="K545" s="81">
        <v>110</v>
      </c>
      <c r="L545" s="81" t="s">
        <v>663</v>
      </c>
    </row>
    <row r="546" spans="1:12" ht="15" customHeight="1">
      <c r="A546" s="112">
        <v>11006251</v>
      </c>
      <c r="B546" s="112" t="s">
        <v>1691</v>
      </c>
      <c r="C546" s="81" t="s">
        <v>655</v>
      </c>
      <c r="D546" s="81">
        <v>1000</v>
      </c>
      <c r="E546" s="81" t="s">
        <v>264</v>
      </c>
      <c r="F546" s="81">
        <v>6251</v>
      </c>
      <c r="G546" s="81" t="s">
        <v>282</v>
      </c>
      <c r="H546" s="81">
        <v>6350</v>
      </c>
      <c r="I546" s="81" t="s">
        <v>637</v>
      </c>
      <c r="J546" s="81">
        <v>4</v>
      </c>
      <c r="K546" s="81">
        <v>110</v>
      </c>
      <c r="L546" s="81" t="s">
        <v>663</v>
      </c>
    </row>
    <row r="547" spans="1:12" ht="15" customHeight="1">
      <c r="A547" s="112">
        <v>11006351</v>
      </c>
      <c r="B547" s="112" t="s">
        <v>1692</v>
      </c>
      <c r="C547" s="81" t="s">
        <v>655</v>
      </c>
      <c r="D547" s="81">
        <v>1000</v>
      </c>
      <c r="E547" s="81" t="s">
        <v>264</v>
      </c>
      <c r="F547" s="81">
        <v>6351</v>
      </c>
      <c r="G547" s="81" t="s">
        <v>282</v>
      </c>
      <c r="H547" s="81">
        <v>6450</v>
      </c>
      <c r="I547" s="81" t="s">
        <v>638</v>
      </c>
      <c r="J547" s="81">
        <v>4</v>
      </c>
      <c r="K547" s="81">
        <v>110</v>
      </c>
      <c r="L547" s="81" t="s">
        <v>663</v>
      </c>
    </row>
    <row r="548" spans="1:12" ht="15" customHeight="1">
      <c r="A548" s="112">
        <v>11006451</v>
      </c>
      <c r="B548" s="112" t="s">
        <v>1693</v>
      </c>
      <c r="C548" s="81" t="s">
        <v>655</v>
      </c>
      <c r="D548" s="81">
        <v>1000</v>
      </c>
      <c r="E548" s="81" t="s">
        <v>264</v>
      </c>
      <c r="F548" s="81">
        <v>6451</v>
      </c>
      <c r="G548" s="81" t="s">
        <v>282</v>
      </c>
      <c r="H548" s="81">
        <v>6550</v>
      </c>
      <c r="I548" s="81" t="s">
        <v>639</v>
      </c>
      <c r="J548" s="81">
        <v>4</v>
      </c>
      <c r="K548" s="81">
        <v>110</v>
      </c>
      <c r="L548" s="81" t="s">
        <v>663</v>
      </c>
    </row>
    <row r="549" spans="1:12" ht="15" customHeight="1">
      <c r="A549" s="112">
        <v>11006551</v>
      </c>
      <c r="B549" s="112" t="s">
        <v>1694</v>
      </c>
      <c r="C549" s="81" t="s">
        <v>655</v>
      </c>
      <c r="D549" s="81">
        <v>1000</v>
      </c>
      <c r="E549" s="81" t="s">
        <v>264</v>
      </c>
      <c r="F549" s="81">
        <v>6551</v>
      </c>
      <c r="G549" s="81" t="s">
        <v>282</v>
      </c>
      <c r="H549" s="81">
        <v>6650</v>
      </c>
      <c r="I549" s="81" t="s">
        <v>640</v>
      </c>
      <c r="J549" s="81">
        <v>4</v>
      </c>
      <c r="K549" s="81">
        <v>110</v>
      </c>
      <c r="L549" s="81" t="s">
        <v>663</v>
      </c>
    </row>
    <row r="550" spans="1:12" ht="15" customHeight="1">
      <c r="A550" s="112">
        <v>11006651</v>
      </c>
      <c r="B550" s="112" t="s">
        <v>1695</v>
      </c>
      <c r="C550" s="81" t="s">
        <v>655</v>
      </c>
      <c r="D550" s="81">
        <v>1000</v>
      </c>
      <c r="E550" s="81" t="s">
        <v>264</v>
      </c>
      <c r="F550" s="81">
        <v>6651</v>
      </c>
      <c r="G550" s="81" t="s">
        <v>282</v>
      </c>
      <c r="H550" s="81">
        <v>6750</v>
      </c>
      <c r="I550" s="81" t="s">
        <v>641</v>
      </c>
      <c r="J550" s="81">
        <v>4</v>
      </c>
      <c r="K550" s="81">
        <v>110</v>
      </c>
      <c r="L550" s="81" t="s">
        <v>663</v>
      </c>
    </row>
    <row r="551" spans="1:12" ht="15" customHeight="1">
      <c r="A551" s="112">
        <v>11006751</v>
      </c>
      <c r="B551" s="112" t="s">
        <v>1696</v>
      </c>
      <c r="C551" s="81" t="s">
        <v>655</v>
      </c>
      <c r="D551" s="81">
        <v>1000</v>
      </c>
      <c r="E551" s="81" t="s">
        <v>264</v>
      </c>
      <c r="F551" s="81">
        <v>6751</v>
      </c>
      <c r="G551" s="81" t="s">
        <v>282</v>
      </c>
      <c r="H551" s="81">
        <v>6850</v>
      </c>
      <c r="I551" s="81" t="s">
        <v>642</v>
      </c>
      <c r="J551" s="81">
        <v>4</v>
      </c>
      <c r="K551" s="81">
        <v>110</v>
      </c>
      <c r="L551" s="81" t="s">
        <v>663</v>
      </c>
    </row>
    <row r="552" spans="1:12" ht="15" customHeight="1">
      <c r="A552" s="112">
        <v>11006851</v>
      </c>
      <c r="B552" s="112" t="s">
        <v>1697</v>
      </c>
      <c r="C552" s="81" t="s">
        <v>655</v>
      </c>
      <c r="D552" s="81">
        <v>1000</v>
      </c>
      <c r="E552" s="81" t="s">
        <v>264</v>
      </c>
      <c r="F552" s="81">
        <v>6851</v>
      </c>
      <c r="G552" s="81" t="s">
        <v>282</v>
      </c>
      <c r="H552" s="81">
        <v>6950</v>
      </c>
      <c r="I552" s="81" t="s">
        <v>643</v>
      </c>
      <c r="J552" s="81">
        <v>5</v>
      </c>
      <c r="K552" s="81">
        <v>110</v>
      </c>
      <c r="L552" s="81" t="s">
        <v>663</v>
      </c>
    </row>
    <row r="553" spans="1:12" ht="15" customHeight="1">
      <c r="A553" s="112">
        <v>11006951</v>
      </c>
      <c r="B553" s="112" t="s">
        <v>1698</v>
      </c>
      <c r="C553" s="81" t="s">
        <v>655</v>
      </c>
      <c r="D553" s="81">
        <v>1000</v>
      </c>
      <c r="E553" s="81" t="s">
        <v>264</v>
      </c>
      <c r="F553" s="81">
        <v>6951</v>
      </c>
      <c r="G553" s="81" t="s">
        <v>282</v>
      </c>
      <c r="H553" s="81">
        <v>7050</v>
      </c>
      <c r="I553" s="81" t="s">
        <v>644</v>
      </c>
      <c r="J553" s="81">
        <v>5</v>
      </c>
      <c r="K553" s="81">
        <v>110</v>
      </c>
      <c r="L553" s="81" t="s">
        <v>663</v>
      </c>
    </row>
    <row r="554" spans="1:12" ht="15" customHeight="1">
      <c r="A554" s="112">
        <v>11007051</v>
      </c>
      <c r="B554" s="112" t="s">
        <v>1699</v>
      </c>
      <c r="C554" s="81" t="s">
        <v>655</v>
      </c>
      <c r="D554" s="81">
        <v>1000</v>
      </c>
      <c r="E554" s="81" t="s">
        <v>264</v>
      </c>
      <c r="F554" s="81">
        <v>7051</v>
      </c>
      <c r="G554" s="81" t="s">
        <v>282</v>
      </c>
      <c r="H554" s="81">
        <v>7150</v>
      </c>
      <c r="I554" s="81" t="s">
        <v>645</v>
      </c>
      <c r="J554" s="81">
        <v>5</v>
      </c>
      <c r="K554" s="81">
        <v>110</v>
      </c>
      <c r="L554" s="81" t="s">
        <v>663</v>
      </c>
    </row>
    <row r="555" spans="1:12" ht="15" customHeight="1">
      <c r="A555" s="112">
        <v>11007151</v>
      </c>
      <c r="B555" s="112" t="s">
        <v>1700</v>
      </c>
      <c r="C555" s="81" t="s">
        <v>655</v>
      </c>
      <c r="D555" s="81">
        <v>1000</v>
      </c>
      <c r="E555" s="81" t="s">
        <v>264</v>
      </c>
      <c r="F555" s="81">
        <v>7151</v>
      </c>
      <c r="G555" s="81" t="s">
        <v>282</v>
      </c>
      <c r="H555" s="81">
        <v>7250</v>
      </c>
      <c r="I555" s="81" t="s">
        <v>646</v>
      </c>
      <c r="J555" s="81">
        <v>5</v>
      </c>
      <c r="K555" s="81">
        <v>110</v>
      </c>
      <c r="L555" s="81" t="s">
        <v>663</v>
      </c>
    </row>
    <row r="556" spans="1:12" ht="15" customHeight="1">
      <c r="A556" s="112">
        <v>11007251</v>
      </c>
      <c r="B556" s="112" t="s">
        <v>1701</v>
      </c>
      <c r="C556" s="81" t="s">
        <v>655</v>
      </c>
      <c r="D556" s="81">
        <v>1000</v>
      </c>
      <c r="E556" s="81" t="s">
        <v>264</v>
      </c>
      <c r="F556" s="81">
        <v>7251</v>
      </c>
      <c r="G556" s="81" t="s">
        <v>282</v>
      </c>
      <c r="H556" s="81">
        <v>7350</v>
      </c>
      <c r="I556" s="81" t="s">
        <v>647</v>
      </c>
      <c r="J556" s="81">
        <v>5</v>
      </c>
      <c r="K556" s="81">
        <v>110</v>
      </c>
      <c r="L556" s="81" t="s">
        <v>663</v>
      </c>
    </row>
    <row r="557" spans="1:12" ht="15" customHeight="1">
      <c r="A557" s="112">
        <v>11007351</v>
      </c>
      <c r="B557" s="112" t="s">
        <v>1702</v>
      </c>
      <c r="C557" s="81" t="s">
        <v>655</v>
      </c>
      <c r="D557" s="81">
        <v>1000</v>
      </c>
      <c r="E557" s="81" t="s">
        <v>264</v>
      </c>
      <c r="F557" s="81">
        <v>7351</v>
      </c>
      <c r="G557" s="81" t="s">
        <v>282</v>
      </c>
      <c r="H557" s="81">
        <v>7450</v>
      </c>
      <c r="I557" s="81" t="s">
        <v>648</v>
      </c>
      <c r="J557" s="81">
        <v>5</v>
      </c>
      <c r="K557" s="81">
        <v>110</v>
      </c>
      <c r="L557" s="81" t="s">
        <v>663</v>
      </c>
    </row>
    <row r="558" spans="1:12" ht="15" customHeight="1">
      <c r="A558" s="112">
        <v>11007451</v>
      </c>
      <c r="B558" s="112" t="s">
        <v>1703</v>
      </c>
      <c r="C558" s="81" t="s">
        <v>655</v>
      </c>
      <c r="D558" s="81">
        <v>1000</v>
      </c>
      <c r="E558" s="81" t="s">
        <v>264</v>
      </c>
      <c r="F558" s="81">
        <v>7451</v>
      </c>
      <c r="G558" s="81" t="s">
        <v>282</v>
      </c>
      <c r="H558" s="81">
        <v>7550</v>
      </c>
      <c r="I558" s="81" t="s">
        <v>649</v>
      </c>
      <c r="J558" s="81">
        <v>5</v>
      </c>
      <c r="K558" s="81">
        <v>110</v>
      </c>
      <c r="L558" s="81" t="s">
        <v>663</v>
      </c>
    </row>
    <row r="559" spans="1:12" ht="15" customHeight="1">
      <c r="A559" s="112">
        <v>11007551</v>
      </c>
      <c r="B559" s="112" t="s">
        <v>1704</v>
      </c>
      <c r="C559" s="81" t="s">
        <v>655</v>
      </c>
      <c r="D559" s="81">
        <v>1000</v>
      </c>
      <c r="E559" s="81" t="s">
        <v>264</v>
      </c>
      <c r="F559" s="81">
        <v>7551</v>
      </c>
      <c r="G559" s="81" t="s">
        <v>282</v>
      </c>
      <c r="H559" s="81">
        <v>7650</v>
      </c>
      <c r="I559" s="81" t="s">
        <v>650</v>
      </c>
      <c r="J559" s="81">
        <v>5</v>
      </c>
      <c r="K559" s="81">
        <v>110</v>
      </c>
      <c r="L559" s="81" t="s">
        <v>663</v>
      </c>
    </row>
    <row r="560" spans="1:12" ht="15" customHeight="1">
      <c r="A560" s="112">
        <v>11007651</v>
      </c>
      <c r="B560" s="112" t="s">
        <v>1705</v>
      </c>
      <c r="C560" s="81" t="s">
        <v>655</v>
      </c>
      <c r="D560" s="81">
        <v>1000</v>
      </c>
      <c r="E560" s="81" t="s">
        <v>264</v>
      </c>
      <c r="F560" s="81">
        <v>7651</v>
      </c>
      <c r="G560" s="81" t="s">
        <v>282</v>
      </c>
      <c r="H560" s="81">
        <v>7750</v>
      </c>
      <c r="I560" s="81" t="s">
        <v>651</v>
      </c>
      <c r="J560" s="81">
        <v>6</v>
      </c>
      <c r="K560" s="81">
        <v>110</v>
      </c>
      <c r="L560" s="81" t="s">
        <v>663</v>
      </c>
    </row>
    <row r="561" spans="1:12" ht="15" customHeight="1">
      <c r="A561" s="112">
        <v>11007751</v>
      </c>
      <c r="B561" s="112" t="s">
        <v>1706</v>
      </c>
      <c r="C561" s="81" t="s">
        <v>655</v>
      </c>
      <c r="D561" s="81">
        <v>1000</v>
      </c>
      <c r="E561" s="81" t="s">
        <v>264</v>
      </c>
      <c r="F561" s="81">
        <v>7751</v>
      </c>
      <c r="G561" s="81" t="s">
        <v>282</v>
      </c>
      <c r="H561" s="81">
        <v>7850</v>
      </c>
      <c r="I561" s="81" t="s">
        <v>652</v>
      </c>
      <c r="J561" s="81">
        <v>6</v>
      </c>
      <c r="K561" s="81">
        <v>110</v>
      </c>
      <c r="L561" s="81" t="s">
        <v>663</v>
      </c>
    </row>
    <row r="562" spans="1:12" ht="15" customHeight="1">
      <c r="A562" s="112">
        <v>11007851</v>
      </c>
      <c r="B562" s="112" t="s">
        <v>1707</v>
      </c>
      <c r="C562" s="81" t="s">
        <v>655</v>
      </c>
      <c r="D562" s="81">
        <v>1000</v>
      </c>
      <c r="E562" s="81" t="s">
        <v>264</v>
      </c>
      <c r="F562" s="81">
        <v>7851</v>
      </c>
      <c r="G562" s="81" t="s">
        <v>282</v>
      </c>
      <c r="H562" s="81">
        <v>7950</v>
      </c>
      <c r="I562" s="81" t="s">
        <v>653</v>
      </c>
      <c r="J562" s="81">
        <v>6</v>
      </c>
      <c r="K562" s="81">
        <v>110</v>
      </c>
      <c r="L562" s="81" t="s">
        <v>663</v>
      </c>
    </row>
    <row r="563" spans="1:12" ht="15" customHeight="1">
      <c r="A563" s="112">
        <v>11007951</v>
      </c>
      <c r="B563" s="112" t="s">
        <v>1708</v>
      </c>
      <c r="C563" s="81" t="s">
        <v>655</v>
      </c>
      <c r="D563" s="81">
        <v>1000</v>
      </c>
      <c r="E563" s="81" t="s">
        <v>264</v>
      </c>
      <c r="F563" s="81">
        <v>7951</v>
      </c>
      <c r="G563" s="81" t="s">
        <v>282</v>
      </c>
      <c r="H563" s="81">
        <v>8050</v>
      </c>
      <c r="I563" s="81" t="s">
        <v>654</v>
      </c>
      <c r="J563" s="81">
        <v>6</v>
      </c>
      <c r="K563" s="81">
        <v>110</v>
      </c>
      <c r="L563" s="81" t="s">
        <v>663</v>
      </c>
    </row>
    <row r="564" spans="1:12" ht="15" customHeight="1">
      <c r="A564" s="112">
        <v>11100000</v>
      </c>
      <c r="B564" s="112" t="s">
        <v>1709</v>
      </c>
      <c r="C564" s="81" t="s">
        <v>655</v>
      </c>
      <c r="D564" s="81">
        <v>1100</v>
      </c>
      <c r="E564" s="81" t="s">
        <v>596</v>
      </c>
      <c r="F564" s="81">
        <v>0</v>
      </c>
      <c r="G564" s="81" t="s">
        <v>282</v>
      </c>
      <c r="H564" s="81">
        <v>2645</v>
      </c>
      <c r="I564" s="81" t="s">
        <v>597</v>
      </c>
      <c r="J564" s="81">
        <v>0</v>
      </c>
      <c r="K564" s="81">
        <v>111</v>
      </c>
      <c r="L564" s="81" t="s">
        <v>663</v>
      </c>
    </row>
    <row r="565" spans="1:12" ht="15" customHeight="1">
      <c r="A565" s="112">
        <v>11102646</v>
      </c>
      <c r="B565" s="112" t="s">
        <v>1710</v>
      </c>
      <c r="C565" s="81" t="s">
        <v>655</v>
      </c>
      <c r="D565" s="81">
        <v>1100</v>
      </c>
      <c r="E565" s="81" t="s">
        <v>596</v>
      </c>
      <c r="F565" s="81">
        <v>2646</v>
      </c>
      <c r="G565" s="81" t="s">
        <v>282</v>
      </c>
      <c r="H565" s="81">
        <v>2715</v>
      </c>
      <c r="I565" s="81" t="s">
        <v>599</v>
      </c>
      <c r="J565" s="81">
        <v>0</v>
      </c>
      <c r="K565" s="81">
        <v>111</v>
      </c>
      <c r="L565" s="81" t="s">
        <v>663</v>
      </c>
    </row>
    <row r="566" spans="1:12" ht="15" customHeight="1">
      <c r="A566" s="112">
        <v>11102716</v>
      </c>
      <c r="B566" s="112" t="s">
        <v>1711</v>
      </c>
      <c r="C566" s="81" t="s">
        <v>655</v>
      </c>
      <c r="D566" s="81">
        <v>1100</v>
      </c>
      <c r="E566" s="81" t="s">
        <v>596</v>
      </c>
      <c r="F566" s="81">
        <v>2716</v>
      </c>
      <c r="G566" s="81" t="s">
        <v>282</v>
      </c>
      <c r="H566" s="81">
        <v>2765</v>
      </c>
      <c r="I566" s="81" t="s">
        <v>600</v>
      </c>
      <c r="J566" s="81">
        <v>0</v>
      </c>
      <c r="K566" s="81">
        <v>111</v>
      </c>
      <c r="L566" s="81" t="s">
        <v>663</v>
      </c>
    </row>
    <row r="567" spans="1:12" ht="15" customHeight="1">
      <c r="A567" s="112">
        <v>11102766</v>
      </c>
      <c r="B567" s="112" t="s">
        <v>1712</v>
      </c>
      <c r="C567" s="81" t="s">
        <v>655</v>
      </c>
      <c r="D567" s="81">
        <v>1100</v>
      </c>
      <c r="E567" s="81" t="s">
        <v>596</v>
      </c>
      <c r="F567" s="81">
        <v>2766</v>
      </c>
      <c r="G567" s="81" t="s">
        <v>282</v>
      </c>
      <c r="H567" s="81">
        <v>2865</v>
      </c>
      <c r="I567" s="81" t="s">
        <v>602</v>
      </c>
      <c r="J567" s="81">
        <v>0</v>
      </c>
      <c r="K567" s="81">
        <v>111</v>
      </c>
      <c r="L567" s="81" t="s">
        <v>663</v>
      </c>
    </row>
    <row r="568" spans="1:12" ht="15" customHeight="1">
      <c r="A568" s="112">
        <v>11102866</v>
      </c>
      <c r="B568" s="112" t="s">
        <v>1713</v>
      </c>
      <c r="C568" s="81" t="s">
        <v>655</v>
      </c>
      <c r="D568" s="81">
        <v>1100</v>
      </c>
      <c r="E568" s="81" t="s">
        <v>596</v>
      </c>
      <c r="F568" s="81">
        <v>2866</v>
      </c>
      <c r="G568" s="81" t="s">
        <v>282</v>
      </c>
      <c r="H568" s="81">
        <v>2965</v>
      </c>
      <c r="I568" s="81" t="s">
        <v>603</v>
      </c>
      <c r="J568" s="81">
        <v>0</v>
      </c>
      <c r="K568" s="81">
        <v>111</v>
      </c>
      <c r="L568" s="81" t="s">
        <v>663</v>
      </c>
    </row>
    <row r="569" spans="1:12" ht="15" customHeight="1">
      <c r="A569" s="112">
        <v>11102966</v>
      </c>
      <c r="B569" s="112" t="s">
        <v>1714</v>
      </c>
      <c r="C569" s="81" t="s">
        <v>655</v>
      </c>
      <c r="D569" s="81">
        <v>1100</v>
      </c>
      <c r="E569" s="81" t="s">
        <v>596</v>
      </c>
      <c r="F569" s="81">
        <v>2966</v>
      </c>
      <c r="G569" s="81" t="s">
        <v>282</v>
      </c>
      <c r="H569" s="81">
        <v>3065</v>
      </c>
      <c r="I569" s="81" t="s">
        <v>604</v>
      </c>
      <c r="J569" s="81">
        <v>0</v>
      </c>
      <c r="K569" s="81">
        <v>111</v>
      </c>
      <c r="L569" s="81" t="s">
        <v>663</v>
      </c>
    </row>
    <row r="570" spans="1:12" ht="15" customHeight="1">
      <c r="A570" s="112">
        <v>11103066</v>
      </c>
      <c r="B570" s="112" t="s">
        <v>1715</v>
      </c>
      <c r="C570" s="81" t="s">
        <v>655</v>
      </c>
      <c r="D570" s="81">
        <v>1100</v>
      </c>
      <c r="E570" s="81" t="s">
        <v>596</v>
      </c>
      <c r="F570" s="81">
        <v>3066</v>
      </c>
      <c r="G570" s="81" t="s">
        <v>282</v>
      </c>
      <c r="H570" s="81">
        <v>3165</v>
      </c>
      <c r="I570" s="81" t="s">
        <v>605</v>
      </c>
      <c r="J570" s="81">
        <v>0</v>
      </c>
      <c r="K570" s="81">
        <v>111</v>
      </c>
      <c r="L570" s="81" t="s">
        <v>663</v>
      </c>
    </row>
    <row r="571" spans="1:12" ht="15" customHeight="1">
      <c r="A571" s="112">
        <v>11103166</v>
      </c>
      <c r="B571" s="112" t="s">
        <v>1716</v>
      </c>
      <c r="C571" s="81" t="s">
        <v>655</v>
      </c>
      <c r="D571" s="81">
        <v>1100</v>
      </c>
      <c r="E571" s="81" t="s">
        <v>596</v>
      </c>
      <c r="F571" s="81">
        <v>3166</v>
      </c>
      <c r="G571" s="81" t="s">
        <v>282</v>
      </c>
      <c r="H571" s="81">
        <v>3265</v>
      </c>
      <c r="I571" s="81" t="s">
        <v>606</v>
      </c>
      <c r="J571" s="81">
        <v>0</v>
      </c>
      <c r="K571" s="81">
        <v>111</v>
      </c>
      <c r="L571" s="81" t="s">
        <v>663</v>
      </c>
    </row>
    <row r="572" spans="1:12" ht="15" customHeight="1">
      <c r="A572" s="112">
        <v>11103266</v>
      </c>
      <c r="B572" s="112" t="s">
        <v>1717</v>
      </c>
      <c r="C572" s="81" t="s">
        <v>655</v>
      </c>
      <c r="D572" s="81">
        <v>1100</v>
      </c>
      <c r="E572" s="81" t="s">
        <v>596</v>
      </c>
      <c r="F572" s="81">
        <v>3266</v>
      </c>
      <c r="G572" s="81" t="s">
        <v>282</v>
      </c>
      <c r="H572" s="81">
        <v>3365</v>
      </c>
      <c r="I572" s="81" t="s">
        <v>607</v>
      </c>
      <c r="J572" s="81">
        <v>0</v>
      </c>
      <c r="K572" s="81">
        <v>111</v>
      </c>
      <c r="L572" s="81" t="s">
        <v>663</v>
      </c>
    </row>
    <row r="573" spans="1:12" ht="15" customHeight="1">
      <c r="A573" s="112">
        <v>11103366</v>
      </c>
      <c r="B573" s="112" t="s">
        <v>1718</v>
      </c>
      <c r="C573" s="81" t="s">
        <v>655</v>
      </c>
      <c r="D573" s="81">
        <v>1100</v>
      </c>
      <c r="E573" s="81" t="s">
        <v>596</v>
      </c>
      <c r="F573" s="81">
        <v>3366</v>
      </c>
      <c r="G573" s="81" t="s">
        <v>282</v>
      </c>
      <c r="H573" s="81">
        <v>3465</v>
      </c>
      <c r="I573" s="81" t="s">
        <v>608</v>
      </c>
      <c r="J573" s="81">
        <v>0</v>
      </c>
      <c r="K573" s="81">
        <v>111</v>
      </c>
      <c r="L573" s="81" t="s">
        <v>663</v>
      </c>
    </row>
    <row r="574" spans="1:12" ht="15" customHeight="1">
      <c r="A574" s="112">
        <v>11103466</v>
      </c>
      <c r="B574" s="112" t="s">
        <v>1719</v>
      </c>
      <c r="C574" s="81" t="s">
        <v>655</v>
      </c>
      <c r="D574" s="81">
        <v>1100</v>
      </c>
      <c r="E574" s="81" t="s">
        <v>596</v>
      </c>
      <c r="F574" s="81">
        <v>3466</v>
      </c>
      <c r="G574" s="81" t="s">
        <v>282</v>
      </c>
      <c r="H574" s="81">
        <v>3565</v>
      </c>
      <c r="I574" s="81" t="s">
        <v>609</v>
      </c>
      <c r="J574" s="81">
        <v>0</v>
      </c>
      <c r="K574" s="81">
        <v>111</v>
      </c>
      <c r="L574" s="81" t="s">
        <v>663</v>
      </c>
    </row>
    <row r="575" spans="1:12" ht="15" customHeight="1">
      <c r="A575" s="112">
        <v>11103566</v>
      </c>
      <c r="B575" s="112" t="s">
        <v>1720</v>
      </c>
      <c r="C575" s="81" t="s">
        <v>655</v>
      </c>
      <c r="D575" s="81">
        <v>1100</v>
      </c>
      <c r="E575" s="81" t="s">
        <v>596</v>
      </c>
      <c r="F575" s="81">
        <v>3566</v>
      </c>
      <c r="G575" s="81" t="s">
        <v>282</v>
      </c>
      <c r="H575" s="81">
        <v>3665</v>
      </c>
      <c r="I575" s="81" t="s">
        <v>610</v>
      </c>
      <c r="J575" s="81">
        <v>0</v>
      </c>
      <c r="K575" s="81">
        <v>111</v>
      </c>
      <c r="L575" s="81" t="s">
        <v>663</v>
      </c>
    </row>
    <row r="576" spans="1:12" ht="15" customHeight="1">
      <c r="A576" s="112">
        <v>11103666</v>
      </c>
      <c r="B576" s="112" t="s">
        <v>1721</v>
      </c>
      <c r="C576" s="81" t="s">
        <v>655</v>
      </c>
      <c r="D576" s="81">
        <v>1100</v>
      </c>
      <c r="E576" s="81" t="s">
        <v>596</v>
      </c>
      <c r="F576" s="81">
        <v>3666</v>
      </c>
      <c r="G576" s="81" t="s">
        <v>282</v>
      </c>
      <c r="H576" s="81">
        <v>3765</v>
      </c>
      <c r="I576" s="81" t="s">
        <v>611</v>
      </c>
      <c r="J576" s="81">
        <v>1</v>
      </c>
      <c r="K576" s="81">
        <v>111</v>
      </c>
      <c r="L576" s="81" t="s">
        <v>663</v>
      </c>
    </row>
    <row r="577" spans="1:12" ht="15" customHeight="1">
      <c r="A577" s="112">
        <v>11103766</v>
      </c>
      <c r="B577" s="112" t="s">
        <v>1722</v>
      </c>
      <c r="C577" s="81" t="s">
        <v>655</v>
      </c>
      <c r="D577" s="81">
        <v>1100</v>
      </c>
      <c r="E577" s="81" t="s">
        <v>596</v>
      </c>
      <c r="F577" s="81">
        <v>3766</v>
      </c>
      <c r="G577" s="81" t="s">
        <v>282</v>
      </c>
      <c r="H577" s="81">
        <v>3865</v>
      </c>
      <c r="I577" s="81" t="s">
        <v>612</v>
      </c>
      <c r="J577" s="81">
        <v>1</v>
      </c>
      <c r="K577" s="81">
        <v>111</v>
      </c>
      <c r="L577" s="81" t="s">
        <v>663</v>
      </c>
    </row>
    <row r="578" spans="1:12" ht="15" customHeight="1">
      <c r="A578" s="112">
        <v>11103866</v>
      </c>
      <c r="B578" s="112" t="s">
        <v>1723</v>
      </c>
      <c r="C578" s="81" t="s">
        <v>655</v>
      </c>
      <c r="D578" s="81">
        <v>1100</v>
      </c>
      <c r="E578" s="81" t="s">
        <v>596</v>
      </c>
      <c r="F578" s="81">
        <v>3866</v>
      </c>
      <c r="G578" s="81" t="s">
        <v>282</v>
      </c>
      <c r="H578" s="81">
        <v>3965</v>
      </c>
      <c r="I578" s="81" t="s">
        <v>613</v>
      </c>
      <c r="J578" s="81">
        <v>1</v>
      </c>
      <c r="K578" s="81">
        <v>111</v>
      </c>
      <c r="L578" s="81" t="s">
        <v>663</v>
      </c>
    </row>
    <row r="579" spans="1:12" ht="15" customHeight="1">
      <c r="A579" s="112">
        <v>11103966</v>
      </c>
      <c r="B579" s="112" t="s">
        <v>1724</v>
      </c>
      <c r="C579" s="81" t="s">
        <v>655</v>
      </c>
      <c r="D579" s="81">
        <v>1100</v>
      </c>
      <c r="E579" s="81" t="s">
        <v>596</v>
      </c>
      <c r="F579" s="81">
        <v>3966</v>
      </c>
      <c r="G579" s="81" t="s">
        <v>282</v>
      </c>
      <c r="H579" s="81">
        <v>4065</v>
      </c>
      <c r="I579" s="81" t="s">
        <v>614</v>
      </c>
      <c r="J579" s="81">
        <v>1</v>
      </c>
      <c r="K579" s="81">
        <v>111</v>
      </c>
      <c r="L579" s="81" t="s">
        <v>663</v>
      </c>
    </row>
    <row r="580" spans="1:12" ht="15" customHeight="1">
      <c r="A580" s="112">
        <v>11104066</v>
      </c>
      <c r="B580" s="112" t="s">
        <v>1725</v>
      </c>
      <c r="C580" s="81" t="s">
        <v>655</v>
      </c>
      <c r="D580" s="81">
        <v>1100</v>
      </c>
      <c r="E580" s="81" t="s">
        <v>596</v>
      </c>
      <c r="F580" s="81">
        <v>4066</v>
      </c>
      <c r="G580" s="81" t="s">
        <v>282</v>
      </c>
      <c r="H580" s="81">
        <v>4165</v>
      </c>
      <c r="I580" s="81" t="s">
        <v>615</v>
      </c>
      <c r="J580" s="81">
        <v>1</v>
      </c>
      <c r="K580" s="81">
        <v>111</v>
      </c>
      <c r="L580" s="81" t="s">
        <v>663</v>
      </c>
    </row>
    <row r="581" spans="1:12" ht="15" customHeight="1">
      <c r="A581" s="112">
        <v>11104166</v>
      </c>
      <c r="B581" s="112" t="s">
        <v>1726</v>
      </c>
      <c r="C581" s="81" t="s">
        <v>655</v>
      </c>
      <c r="D581" s="81">
        <v>1100</v>
      </c>
      <c r="E581" s="81" t="s">
        <v>596</v>
      </c>
      <c r="F581" s="81">
        <v>4166</v>
      </c>
      <c r="G581" s="81" t="s">
        <v>282</v>
      </c>
      <c r="H581" s="81">
        <v>4265</v>
      </c>
      <c r="I581" s="81" t="s">
        <v>616</v>
      </c>
      <c r="J581" s="81">
        <v>1</v>
      </c>
      <c r="K581" s="81">
        <v>111</v>
      </c>
      <c r="L581" s="81" t="s">
        <v>663</v>
      </c>
    </row>
    <row r="582" spans="1:12" ht="15" customHeight="1">
      <c r="A582" s="112">
        <v>11104266</v>
      </c>
      <c r="B582" s="112" t="s">
        <v>1727</v>
      </c>
      <c r="C582" s="81" t="s">
        <v>655</v>
      </c>
      <c r="D582" s="81">
        <v>1100</v>
      </c>
      <c r="E582" s="81" t="s">
        <v>596</v>
      </c>
      <c r="F582" s="81">
        <v>4266</v>
      </c>
      <c r="G582" s="81" t="s">
        <v>282</v>
      </c>
      <c r="H582" s="81">
        <v>4365</v>
      </c>
      <c r="I582" s="81" t="s">
        <v>617</v>
      </c>
      <c r="J582" s="81">
        <v>1</v>
      </c>
      <c r="K582" s="81">
        <v>111</v>
      </c>
      <c r="L582" s="81" t="s">
        <v>663</v>
      </c>
    </row>
    <row r="583" spans="1:12" ht="15" customHeight="1">
      <c r="A583" s="112">
        <v>11104366</v>
      </c>
      <c r="B583" s="112" t="s">
        <v>1728</v>
      </c>
      <c r="C583" s="81" t="s">
        <v>655</v>
      </c>
      <c r="D583" s="81">
        <v>1100</v>
      </c>
      <c r="E583" s="81" t="s">
        <v>596</v>
      </c>
      <c r="F583" s="81">
        <v>4366</v>
      </c>
      <c r="G583" s="81" t="s">
        <v>282</v>
      </c>
      <c r="H583" s="81">
        <v>4465</v>
      </c>
      <c r="I583" s="81" t="s">
        <v>618</v>
      </c>
      <c r="J583" s="81">
        <v>1</v>
      </c>
      <c r="K583" s="81">
        <v>111</v>
      </c>
      <c r="L583" s="81" t="s">
        <v>663</v>
      </c>
    </row>
    <row r="584" spans="1:12" ht="15" customHeight="1">
      <c r="A584" s="112">
        <v>11104466</v>
      </c>
      <c r="B584" s="112" t="s">
        <v>1729</v>
      </c>
      <c r="C584" s="81" t="s">
        <v>655</v>
      </c>
      <c r="D584" s="81">
        <v>1100</v>
      </c>
      <c r="E584" s="81" t="s">
        <v>596</v>
      </c>
      <c r="F584" s="81">
        <v>4466</v>
      </c>
      <c r="G584" s="81" t="s">
        <v>282</v>
      </c>
      <c r="H584" s="81">
        <v>4565</v>
      </c>
      <c r="I584" s="81" t="s">
        <v>619</v>
      </c>
      <c r="J584" s="81">
        <v>2</v>
      </c>
      <c r="K584" s="81">
        <v>111</v>
      </c>
      <c r="L584" s="81" t="s">
        <v>663</v>
      </c>
    </row>
    <row r="585" spans="1:12" ht="15" customHeight="1">
      <c r="A585" s="112">
        <v>11104566</v>
      </c>
      <c r="B585" s="112" t="s">
        <v>1730</v>
      </c>
      <c r="C585" s="81" t="s">
        <v>655</v>
      </c>
      <c r="D585" s="81">
        <v>1100</v>
      </c>
      <c r="E585" s="81" t="s">
        <v>596</v>
      </c>
      <c r="F585" s="81">
        <v>4566</v>
      </c>
      <c r="G585" s="81" t="s">
        <v>282</v>
      </c>
      <c r="H585" s="81">
        <v>4665</v>
      </c>
      <c r="I585" s="81" t="s">
        <v>620</v>
      </c>
      <c r="J585" s="81">
        <v>2</v>
      </c>
      <c r="K585" s="81">
        <v>111</v>
      </c>
      <c r="L585" s="81" t="s">
        <v>663</v>
      </c>
    </row>
    <row r="586" spans="1:12" ht="15" customHeight="1">
      <c r="A586" s="112">
        <v>11104666</v>
      </c>
      <c r="B586" s="112" t="s">
        <v>1731</v>
      </c>
      <c r="C586" s="81" t="s">
        <v>655</v>
      </c>
      <c r="D586" s="81">
        <v>1100</v>
      </c>
      <c r="E586" s="81" t="s">
        <v>596</v>
      </c>
      <c r="F586" s="81">
        <v>4666</v>
      </c>
      <c r="G586" s="81" t="s">
        <v>282</v>
      </c>
      <c r="H586" s="81">
        <v>4765</v>
      </c>
      <c r="I586" s="81" t="s">
        <v>621</v>
      </c>
      <c r="J586" s="81">
        <v>2</v>
      </c>
      <c r="K586" s="81">
        <v>111</v>
      </c>
      <c r="L586" s="81" t="s">
        <v>663</v>
      </c>
    </row>
    <row r="587" spans="1:12" ht="15" customHeight="1">
      <c r="A587" s="112">
        <v>11104766</v>
      </c>
      <c r="B587" s="112" t="s">
        <v>1732</v>
      </c>
      <c r="C587" s="81" t="s">
        <v>655</v>
      </c>
      <c r="D587" s="81">
        <v>1100</v>
      </c>
      <c r="E587" s="81" t="s">
        <v>596</v>
      </c>
      <c r="F587" s="81">
        <v>4766</v>
      </c>
      <c r="G587" s="81" t="s">
        <v>282</v>
      </c>
      <c r="H587" s="81">
        <v>4865</v>
      </c>
      <c r="I587" s="81" t="s">
        <v>622</v>
      </c>
      <c r="J587" s="81">
        <v>2</v>
      </c>
      <c r="K587" s="81">
        <v>111</v>
      </c>
      <c r="L587" s="81" t="s">
        <v>663</v>
      </c>
    </row>
    <row r="588" spans="1:12" ht="15" customHeight="1">
      <c r="A588" s="112">
        <v>11104866</v>
      </c>
      <c r="B588" s="112" t="s">
        <v>1733</v>
      </c>
      <c r="C588" s="81" t="s">
        <v>655</v>
      </c>
      <c r="D588" s="81">
        <v>1100</v>
      </c>
      <c r="E588" s="81" t="s">
        <v>596</v>
      </c>
      <c r="F588" s="81">
        <v>4866</v>
      </c>
      <c r="G588" s="81" t="s">
        <v>282</v>
      </c>
      <c r="H588" s="81">
        <v>4965</v>
      </c>
      <c r="I588" s="81" t="s">
        <v>623</v>
      </c>
      <c r="J588" s="81">
        <v>2</v>
      </c>
      <c r="K588" s="81">
        <v>111</v>
      </c>
      <c r="L588" s="81" t="s">
        <v>663</v>
      </c>
    </row>
    <row r="589" spans="1:12" ht="15" customHeight="1">
      <c r="A589" s="112">
        <v>11104966</v>
      </c>
      <c r="B589" s="112" t="s">
        <v>1734</v>
      </c>
      <c r="C589" s="81" t="s">
        <v>655</v>
      </c>
      <c r="D589" s="81">
        <v>1100</v>
      </c>
      <c r="E589" s="81" t="s">
        <v>596</v>
      </c>
      <c r="F589" s="81">
        <v>4966</v>
      </c>
      <c r="G589" s="81" t="s">
        <v>282</v>
      </c>
      <c r="H589" s="81">
        <v>5065</v>
      </c>
      <c r="I589" s="81" t="s">
        <v>624</v>
      </c>
      <c r="J589" s="81">
        <v>2</v>
      </c>
      <c r="K589" s="81">
        <v>111</v>
      </c>
      <c r="L589" s="81" t="s">
        <v>663</v>
      </c>
    </row>
    <row r="590" spans="1:12" ht="15" customHeight="1">
      <c r="A590" s="112">
        <v>11105066</v>
      </c>
      <c r="B590" s="112" t="s">
        <v>1735</v>
      </c>
      <c r="C590" s="81" t="s">
        <v>655</v>
      </c>
      <c r="D590" s="81">
        <v>1100</v>
      </c>
      <c r="E590" s="81" t="s">
        <v>596</v>
      </c>
      <c r="F590" s="81">
        <v>5066</v>
      </c>
      <c r="G590" s="81" t="s">
        <v>282</v>
      </c>
      <c r="H590" s="81">
        <v>5165</v>
      </c>
      <c r="I590" s="81" t="s">
        <v>625</v>
      </c>
      <c r="J590" s="81">
        <v>2</v>
      </c>
      <c r="K590" s="81">
        <v>111</v>
      </c>
      <c r="L590" s="81" t="s">
        <v>663</v>
      </c>
    </row>
    <row r="591" spans="1:12" ht="15" customHeight="1">
      <c r="A591" s="112">
        <v>11105166</v>
      </c>
      <c r="B591" s="112" t="s">
        <v>1736</v>
      </c>
      <c r="C591" s="81" t="s">
        <v>655</v>
      </c>
      <c r="D591" s="81">
        <v>1100</v>
      </c>
      <c r="E591" s="81" t="s">
        <v>596</v>
      </c>
      <c r="F591" s="81">
        <v>5166</v>
      </c>
      <c r="G591" s="81" t="s">
        <v>282</v>
      </c>
      <c r="H591" s="81">
        <v>5265</v>
      </c>
      <c r="I591" s="81" t="s">
        <v>626</v>
      </c>
      <c r="J591" s="81">
        <v>2</v>
      </c>
      <c r="K591" s="81">
        <v>111</v>
      </c>
      <c r="L591" s="81" t="s">
        <v>663</v>
      </c>
    </row>
    <row r="592" spans="1:12" ht="15" customHeight="1">
      <c r="A592" s="112">
        <v>11105266</v>
      </c>
      <c r="B592" s="112" t="s">
        <v>1737</v>
      </c>
      <c r="C592" s="81" t="s">
        <v>655</v>
      </c>
      <c r="D592" s="81">
        <v>1100</v>
      </c>
      <c r="E592" s="81" t="s">
        <v>596</v>
      </c>
      <c r="F592" s="81">
        <v>5266</v>
      </c>
      <c r="G592" s="81" t="s">
        <v>282</v>
      </c>
      <c r="H592" s="81">
        <v>5365</v>
      </c>
      <c r="I592" s="81" t="s">
        <v>627</v>
      </c>
      <c r="J592" s="81">
        <v>3</v>
      </c>
      <c r="K592" s="81">
        <v>111</v>
      </c>
      <c r="L592" s="81" t="s">
        <v>663</v>
      </c>
    </row>
    <row r="593" spans="1:12" ht="15" customHeight="1">
      <c r="A593" s="112">
        <v>11105366</v>
      </c>
      <c r="B593" s="112" t="s">
        <v>1738</v>
      </c>
      <c r="C593" s="81" t="s">
        <v>655</v>
      </c>
      <c r="D593" s="81">
        <v>1100</v>
      </c>
      <c r="E593" s="81" t="s">
        <v>596</v>
      </c>
      <c r="F593" s="81">
        <v>5366</v>
      </c>
      <c r="G593" s="81" t="s">
        <v>282</v>
      </c>
      <c r="H593" s="81">
        <v>5465</v>
      </c>
      <c r="I593" s="81" t="s">
        <v>628</v>
      </c>
      <c r="J593" s="81">
        <v>3</v>
      </c>
      <c r="K593" s="81">
        <v>111</v>
      </c>
      <c r="L593" s="81" t="s">
        <v>663</v>
      </c>
    </row>
    <row r="594" spans="1:12" ht="15" customHeight="1">
      <c r="A594" s="112">
        <v>11105466</v>
      </c>
      <c r="B594" s="112" t="s">
        <v>1739</v>
      </c>
      <c r="C594" s="81" t="s">
        <v>655</v>
      </c>
      <c r="D594" s="81">
        <v>1100</v>
      </c>
      <c r="E594" s="81" t="s">
        <v>596</v>
      </c>
      <c r="F594" s="81">
        <v>5466</v>
      </c>
      <c r="G594" s="81" t="s">
        <v>282</v>
      </c>
      <c r="H594" s="81">
        <v>5565</v>
      </c>
      <c r="I594" s="81" t="s">
        <v>629</v>
      </c>
      <c r="J594" s="81">
        <v>3</v>
      </c>
      <c r="K594" s="81">
        <v>111</v>
      </c>
      <c r="L594" s="81" t="s">
        <v>663</v>
      </c>
    </row>
    <row r="595" spans="1:12" ht="15" customHeight="1">
      <c r="A595" s="112">
        <v>11105566</v>
      </c>
      <c r="B595" s="112" t="s">
        <v>1740</v>
      </c>
      <c r="C595" s="81" t="s">
        <v>655</v>
      </c>
      <c r="D595" s="81">
        <v>1100</v>
      </c>
      <c r="E595" s="81" t="s">
        <v>596</v>
      </c>
      <c r="F595" s="81">
        <v>5566</v>
      </c>
      <c r="G595" s="81" t="s">
        <v>282</v>
      </c>
      <c r="H595" s="81">
        <v>5665</v>
      </c>
      <c r="I595" s="81" t="s">
        <v>630</v>
      </c>
      <c r="J595" s="81">
        <v>3</v>
      </c>
      <c r="K595" s="81">
        <v>111</v>
      </c>
      <c r="L595" s="81" t="s">
        <v>663</v>
      </c>
    </row>
    <row r="596" spans="1:12" ht="15" customHeight="1">
      <c r="A596" s="112">
        <v>11105666</v>
      </c>
      <c r="B596" s="112" t="s">
        <v>1741</v>
      </c>
      <c r="C596" s="81" t="s">
        <v>655</v>
      </c>
      <c r="D596" s="81">
        <v>1100</v>
      </c>
      <c r="E596" s="81" t="s">
        <v>596</v>
      </c>
      <c r="F596" s="81">
        <v>5666</v>
      </c>
      <c r="G596" s="81" t="s">
        <v>282</v>
      </c>
      <c r="H596" s="81">
        <v>5765</v>
      </c>
      <c r="I596" s="81" t="s">
        <v>631</v>
      </c>
      <c r="J596" s="81">
        <v>3</v>
      </c>
      <c r="K596" s="81">
        <v>111</v>
      </c>
      <c r="L596" s="81" t="s">
        <v>663</v>
      </c>
    </row>
    <row r="597" spans="1:12" ht="15" customHeight="1">
      <c r="A597" s="112">
        <v>11105766</v>
      </c>
      <c r="B597" s="112" t="s">
        <v>1742</v>
      </c>
      <c r="C597" s="81" t="s">
        <v>655</v>
      </c>
      <c r="D597" s="81">
        <v>1100</v>
      </c>
      <c r="E597" s="81" t="s">
        <v>596</v>
      </c>
      <c r="F597" s="81">
        <v>5766</v>
      </c>
      <c r="G597" s="81" t="s">
        <v>282</v>
      </c>
      <c r="H597" s="81">
        <v>5865</v>
      </c>
      <c r="I597" s="81" t="s">
        <v>632</v>
      </c>
      <c r="J597" s="81">
        <v>3</v>
      </c>
      <c r="K597" s="81">
        <v>111</v>
      </c>
      <c r="L597" s="81" t="s">
        <v>663</v>
      </c>
    </row>
    <row r="598" spans="1:12" ht="15" customHeight="1">
      <c r="A598" s="112">
        <v>11105866</v>
      </c>
      <c r="B598" s="112" t="s">
        <v>1743</v>
      </c>
      <c r="C598" s="81" t="s">
        <v>655</v>
      </c>
      <c r="D598" s="81">
        <v>1100</v>
      </c>
      <c r="E598" s="81" t="s">
        <v>596</v>
      </c>
      <c r="F598" s="81">
        <v>5866</v>
      </c>
      <c r="G598" s="81" t="s">
        <v>282</v>
      </c>
      <c r="H598" s="81">
        <v>5965</v>
      </c>
      <c r="I598" s="81" t="s">
        <v>633</v>
      </c>
      <c r="J598" s="81">
        <v>3</v>
      </c>
      <c r="K598" s="81">
        <v>111</v>
      </c>
      <c r="L598" s="81" t="s">
        <v>663</v>
      </c>
    </row>
    <row r="599" spans="1:12" ht="15" customHeight="1">
      <c r="A599" s="112">
        <v>11105966</v>
      </c>
      <c r="B599" s="112" t="s">
        <v>1744</v>
      </c>
      <c r="C599" s="81" t="s">
        <v>655</v>
      </c>
      <c r="D599" s="81">
        <v>1100</v>
      </c>
      <c r="E599" s="81" t="s">
        <v>596</v>
      </c>
      <c r="F599" s="81">
        <v>5966</v>
      </c>
      <c r="G599" s="81" t="s">
        <v>282</v>
      </c>
      <c r="H599" s="81">
        <v>6065</v>
      </c>
      <c r="I599" s="81" t="s">
        <v>634</v>
      </c>
      <c r="J599" s="81">
        <v>3</v>
      </c>
      <c r="K599" s="81">
        <v>111</v>
      </c>
      <c r="L599" s="81" t="s">
        <v>663</v>
      </c>
    </row>
    <row r="600" spans="1:12" ht="15" customHeight="1">
      <c r="A600" s="112">
        <v>11106066</v>
      </c>
      <c r="B600" s="112" t="s">
        <v>1745</v>
      </c>
      <c r="C600" s="81" t="s">
        <v>655</v>
      </c>
      <c r="D600" s="81">
        <v>1100</v>
      </c>
      <c r="E600" s="81" t="s">
        <v>596</v>
      </c>
      <c r="F600" s="81">
        <v>6066</v>
      </c>
      <c r="G600" s="81" t="s">
        <v>282</v>
      </c>
      <c r="H600" s="81">
        <v>6165</v>
      </c>
      <c r="I600" s="81" t="s">
        <v>635</v>
      </c>
      <c r="J600" s="81">
        <v>4</v>
      </c>
      <c r="K600" s="81">
        <v>111</v>
      </c>
      <c r="L600" s="81" t="s">
        <v>663</v>
      </c>
    </row>
    <row r="601" spans="1:12" ht="15" customHeight="1">
      <c r="A601" s="112">
        <v>11106166</v>
      </c>
      <c r="B601" s="112" t="s">
        <v>1746</v>
      </c>
      <c r="C601" s="81" t="s">
        <v>655</v>
      </c>
      <c r="D601" s="81">
        <v>1100</v>
      </c>
      <c r="E601" s="81" t="s">
        <v>596</v>
      </c>
      <c r="F601" s="81">
        <v>6166</v>
      </c>
      <c r="G601" s="81" t="s">
        <v>282</v>
      </c>
      <c r="H601" s="81">
        <v>6265</v>
      </c>
      <c r="I601" s="81" t="s">
        <v>636</v>
      </c>
      <c r="J601" s="81">
        <v>4</v>
      </c>
      <c r="K601" s="81">
        <v>111</v>
      </c>
      <c r="L601" s="81" t="s">
        <v>663</v>
      </c>
    </row>
    <row r="602" spans="1:12" ht="15" customHeight="1">
      <c r="A602" s="112">
        <v>11106266</v>
      </c>
      <c r="B602" s="112" t="s">
        <v>1747</v>
      </c>
      <c r="C602" s="81" t="s">
        <v>655</v>
      </c>
      <c r="D602" s="81">
        <v>1100</v>
      </c>
      <c r="E602" s="81" t="s">
        <v>596</v>
      </c>
      <c r="F602" s="81">
        <v>6266</v>
      </c>
      <c r="G602" s="81" t="s">
        <v>282</v>
      </c>
      <c r="H602" s="81">
        <v>6365</v>
      </c>
      <c r="I602" s="81" t="s">
        <v>637</v>
      </c>
      <c r="J602" s="81">
        <v>4</v>
      </c>
      <c r="K602" s="81">
        <v>111</v>
      </c>
      <c r="L602" s="81" t="s">
        <v>663</v>
      </c>
    </row>
    <row r="603" spans="1:12" ht="15" customHeight="1">
      <c r="A603" s="112">
        <v>11106366</v>
      </c>
      <c r="B603" s="112" t="s">
        <v>1748</v>
      </c>
      <c r="C603" s="81" t="s">
        <v>655</v>
      </c>
      <c r="D603" s="81">
        <v>1100</v>
      </c>
      <c r="E603" s="81" t="s">
        <v>596</v>
      </c>
      <c r="F603" s="81">
        <v>6366</v>
      </c>
      <c r="G603" s="81" t="s">
        <v>282</v>
      </c>
      <c r="H603" s="81">
        <v>6465</v>
      </c>
      <c r="I603" s="81" t="s">
        <v>638</v>
      </c>
      <c r="J603" s="81">
        <v>4</v>
      </c>
      <c r="K603" s="81">
        <v>111</v>
      </c>
      <c r="L603" s="81" t="s">
        <v>663</v>
      </c>
    </row>
    <row r="604" spans="1:12" ht="15" customHeight="1">
      <c r="A604" s="112">
        <v>11106466</v>
      </c>
      <c r="B604" s="112" t="s">
        <v>1749</v>
      </c>
      <c r="C604" s="81" t="s">
        <v>655</v>
      </c>
      <c r="D604" s="81">
        <v>1100</v>
      </c>
      <c r="E604" s="81" t="s">
        <v>596</v>
      </c>
      <c r="F604" s="81">
        <v>6466</v>
      </c>
      <c r="G604" s="81" t="s">
        <v>282</v>
      </c>
      <c r="H604" s="81">
        <v>6565</v>
      </c>
      <c r="I604" s="81" t="s">
        <v>639</v>
      </c>
      <c r="J604" s="81">
        <v>4</v>
      </c>
      <c r="K604" s="81">
        <v>111</v>
      </c>
      <c r="L604" s="81" t="s">
        <v>663</v>
      </c>
    </row>
    <row r="605" spans="1:12" ht="15" customHeight="1">
      <c r="A605" s="112">
        <v>11106566</v>
      </c>
      <c r="B605" s="112" t="s">
        <v>1750</v>
      </c>
      <c r="C605" s="81" t="s">
        <v>655</v>
      </c>
      <c r="D605" s="81">
        <v>1100</v>
      </c>
      <c r="E605" s="81" t="s">
        <v>596</v>
      </c>
      <c r="F605" s="81">
        <v>6566</v>
      </c>
      <c r="G605" s="81" t="s">
        <v>282</v>
      </c>
      <c r="H605" s="81">
        <v>6665</v>
      </c>
      <c r="I605" s="81" t="s">
        <v>640</v>
      </c>
      <c r="J605" s="81">
        <v>4</v>
      </c>
      <c r="K605" s="81">
        <v>111</v>
      </c>
      <c r="L605" s="81" t="s">
        <v>663</v>
      </c>
    </row>
    <row r="606" spans="1:12" ht="15" customHeight="1">
      <c r="A606" s="112">
        <v>11106666</v>
      </c>
      <c r="B606" s="112" t="s">
        <v>1751</v>
      </c>
      <c r="C606" s="81" t="s">
        <v>655</v>
      </c>
      <c r="D606" s="81">
        <v>1100</v>
      </c>
      <c r="E606" s="81" t="s">
        <v>596</v>
      </c>
      <c r="F606" s="81">
        <v>6666</v>
      </c>
      <c r="G606" s="81" t="s">
        <v>282</v>
      </c>
      <c r="H606" s="81">
        <v>6765</v>
      </c>
      <c r="I606" s="81" t="s">
        <v>641</v>
      </c>
      <c r="J606" s="81">
        <v>4</v>
      </c>
      <c r="K606" s="81">
        <v>111</v>
      </c>
      <c r="L606" s="81" t="s">
        <v>663</v>
      </c>
    </row>
    <row r="607" spans="1:12" ht="15" customHeight="1">
      <c r="A607" s="112">
        <v>11106766</v>
      </c>
      <c r="B607" s="112" t="s">
        <v>1752</v>
      </c>
      <c r="C607" s="81" t="s">
        <v>655</v>
      </c>
      <c r="D607" s="81">
        <v>1100</v>
      </c>
      <c r="E607" s="81" t="s">
        <v>596</v>
      </c>
      <c r="F607" s="81">
        <v>6766</v>
      </c>
      <c r="G607" s="81" t="s">
        <v>282</v>
      </c>
      <c r="H607" s="81">
        <v>6865</v>
      </c>
      <c r="I607" s="81" t="s">
        <v>642</v>
      </c>
      <c r="J607" s="81">
        <v>4</v>
      </c>
      <c r="K607" s="81">
        <v>111</v>
      </c>
      <c r="L607" s="81" t="s">
        <v>663</v>
      </c>
    </row>
    <row r="608" spans="1:12" ht="15" customHeight="1">
      <c r="A608" s="112">
        <v>11106866</v>
      </c>
      <c r="B608" s="112" t="s">
        <v>1753</v>
      </c>
      <c r="C608" s="81" t="s">
        <v>655</v>
      </c>
      <c r="D608" s="81">
        <v>1100</v>
      </c>
      <c r="E608" s="81" t="s">
        <v>596</v>
      </c>
      <c r="F608" s="81">
        <v>6866</v>
      </c>
      <c r="G608" s="81" t="s">
        <v>282</v>
      </c>
      <c r="H608" s="81">
        <v>6965</v>
      </c>
      <c r="I608" s="81" t="s">
        <v>643</v>
      </c>
      <c r="J608" s="81">
        <v>5</v>
      </c>
      <c r="K608" s="81">
        <v>111</v>
      </c>
      <c r="L608" s="81" t="s">
        <v>663</v>
      </c>
    </row>
    <row r="609" spans="1:12" ht="15" customHeight="1">
      <c r="A609" s="112">
        <v>11106966</v>
      </c>
      <c r="B609" s="112" t="s">
        <v>1754</v>
      </c>
      <c r="C609" s="81" t="s">
        <v>655</v>
      </c>
      <c r="D609" s="81">
        <v>1100</v>
      </c>
      <c r="E609" s="81" t="s">
        <v>596</v>
      </c>
      <c r="F609" s="81">
        <v>6966</v>
      </c>
      <c r="G609" s="81" t="s">
        <v>282</v>
      </c>
      <c r="H609" s="81">
        <v>7065</v>
      </c>
      <c r="I609" s="81" t="s">
        <v>644</v>
      </c>
      <c r="J609" s="81">
        <v>5</v>
      </c>
      <c r="K609" s="81">
        <v>111</v>
      </c>
      <c r="L609" s="81" t="s">
        <v>663</v>
      </c>
    </row>
    <row r="610" spans="1:12" ht="15" customHeight="1">
      <c r="A610" s="112">
        <v>11107066</v>
      </c>
      <c r="B610" s="112" t="s">
        <v>1755</v>
      </c>
      <c r="C610" s="81" t="s">
        <v>655</v>
      </c>
      <c r="D610" s="81">
        <v>1100</v>
      </c>
      <c r="E610" s="81" t="s">
        <v>596</v>
      </c>
      <c r="F610" s="81">
        <v>7066</v>
      </c>
      <c r="G610" s="81" t="s">
        <v>282</v>
      </c>
      <c r="H610" s="81">
        <v>7165</v>
      </c>
      <c r="I610" s="81" t="s">
        <v>645</v>
      </c>
      <c r="J610" s="81">
        <v>5</v>
      </c>
      <c r="K610" s="81">
        <v>111</v>
      </c>
      <c r="L610" s="81" t="s">
        <v>663</v>
      </c>
    </row>
    <row r="611" spans="1:12" ht="15" customHeight="1">
      <c r="A611" s="112">
        <v>11107166</v>
      </c>
      <c r="B611" s="112" t="s">
        <v>1756</v>
      </c>
      <c r="C611" s="81" t="s">
        <v>655</v>
      </c>
      <c r="D611" s="81">
        <v>1100</v>
      </c>
      <c r="E611" s="81" t="s">
        <v>596</v>
      </c>
      <c r="F611" s="81">
        <v>7166</v>
      </c>
      <c r="G611" s="81" t="s">
        <v>282</v>
      </c>
      <c r="H611" s="81">
        <v>7265</v>
      </c>
      <c r="I611" s="81" t="s">
        <v>646</v>
      </c>
      <c r="J611" s="81">
        <v>5</v>
      </c>
      <c r="K611" s="81">
        <v>111</v>
      </c>
      <c r="L611" s="81" t="s">
        <v>663</v>
      </c>
    </row>
    <row r="612" spans="1:12" ht="15" customHeight="1">
      <c r="A612" s="112">
        <v>11107266</v>
      </c>
      <c r="B612" s="112" t="s">
        <v>1757</v>
      </c>
      <c r="C612" s="81" t="s">
        <v>655</v>
      </c>
      <c r="D612" s="81">
        <v>1100</v>
      </c>
      <c r="E612" s="81" t="s">
        <v>596</v>
      </c>
      <c r="F612" s="81">
        <v>7266</v>
      </c>
      <c r="G612" s="81" t="s">
        <v>282</v>
      </c>
      <c r="H612" s="81">
        <v>7365</v>
      </c>
      <c r="I612" s="81" t="s">
        <v>647</v>
      </c>
      <c r="J612" s="81">
        <v>5</v>
      </c>
      <c r="K612" s="81">
        <v>111</v>
      </c>
      <c r="L612" s="81" t="s">
        <v>663</v>
      </c>
    </row>
    <row r="613" spans="1:12" ht="15" customHeight="1">
      <c r="A613" s="112">
        <v>11107366</v>
      </c>
      <c r="B613" s="112" t="s">
        <v>1758</v>
      </c>
      <c r="C613" s="81" t="s">
        <v>655</v>
      </c>
      <c r="D613" s="81">
        <v>1100</v>
      </c>
      <c r="E613" s="81" t="s">
        <v>596</v>
      </c>
      <c r="F613" s="81">
        <v>7366</v>
      </c>
      <c r="G613" s="81" t="s">
        <v>282</v>
      </c>
      <c r="H613" s="81">
        <v>7465</v>
      </c>
      <c r="I613" s="81" t="s">
        <v>648</v>
      </c>
      <c r="J613" s="81">
        <v>5</v>
      </c>
      <c r="K613" s="81">
        <v>111</v>
      </c>
      <c r="L613" s="81" t="s">
        <v>663</v>
      </c>
    </row>
    <row r="614" spans="1:12" ht="15" customHeight="1">
      <c r="A614" s="112">
        <v>11107466</v>
      </c>
      <c r="B614" s="112" t="s">
        <v>1759</v>
      </c>
      <c r="C614" s="81" t="s">
        <v>655</v>
      </c>
      <c r="D614" s="81">
        <v>1100</v>
      </c>
      <c r="E614" s="81" t="s">
        <v>596</v>
      </c>
      <c r="F614" s="81">
        <v>7466</v>
      </c>
      <c r="G614" s="81" t="s">
        <v>282</v>
      </c>
      <c r="H614" s="81">
        <v>7565</v>
      </c>
      <c r="I614" s="81" t="s">
        <v>649</v>
      </c>
      <c r="J614" s="81">
        <v>5</v>
      </c>
      <c r="K614" s="81">
        <v>111</v>
      </c>
      <c r="L614" s="81" t="s">
        <v>663</v>
      </c>
    </row>
    <row r="615" spans="1:12" ht="15" customHeight="1">
      <c r="A615" s="112">
        <v>11107566</v>
      </c>
      <c r="B615" s="112" t="s">
        <v>1760</v>
      </c>
      <c r="C615" s="81" t="s">
        <v>655</v>
      </c>
      <c r="D615" s="81">
        <v>1100</v>
      </c>
      <c r="E615" s="81" t="s">
        <v>596</v>
      </c>
      <c r="F615" s="81">
        <v>7566</v>
      </c>
      <c r="G615" s="81" t="s">
        <v>282</v>
      </c>
      <c r="H615" s="81">
        <v>7665</v>
      </c>
      <c r="I615" s="81" t="s">
        <v>650</v>
      </c>
      <c r="J615" s="81">
        <v>5</v>
      </c>
      <c r="K615" s="81">
        <v>111</v>
      </c>
      <c r="L615" s="81" t="s">
        <v>663</v>
      </c>
    </row>
    <row r="616" spans="1:12" ht="15" customHeight="1">
      <c r="A616" s="112">
        <v>11107666</v>
      </c>
      <c r="B616" s="112" t="s">
        <v>1761</v>
      </c>
      <c r="C616" s="81" t="s">
        <v>655</v>
      </c>
      <c r="D616" s="81">
        <v>1100</v>
      </c>
      <c r="E616" s="81" t="s">
        <v>596</v>
      </c>
      <c r="F616" s="81">
        <v>7666</v>
      </c>
      <c r="G616" s="81" t="s">
        <v>282</v>
      </c>
      <c r="H616" s="81">
        <v>7765</v>
      </c>
      <c r="I616" s="81" t="s">
        <v>651</v>
      </c>
      <c r="J616" s="81">
        <v>6</v>
      </c>
      <c r="K616" s="81">
        <v>111</v>
      </c>
      <c r="L616" s="81" t="s">
        <v>663</v>
      </c>
    </row>
    <row r="617" spans="1:12" ht="15" customHeight="1">
      <c r="A617" s="112">
        <v>11107766</v>
      </c>
      <c r="B617" s="112" t="s">
        <v>1762</v>
      </c>
      <c r="C617" s="81" t="s">
        <v>655</v>
      </c>
      <c r="D617" s="81">
        <v>1100</v>
      </c>
      <c r="E617" s="81" t="s">
        <v>596</v>
      </c>
      <c r="F617" s="81">
        <v>7766</v>
      </c>
      <c r="G617" s="81" t="s">
        <v>282</v>
      </c>
      <c r="H617" s="81">
        <v>7865</v>
      </c>
      <c r="I617" s="81" t="s">
        <v>652</v>
      </c>
      <c r="J617" s="81">
        <v>6</v>
      </c>
      <c r="K617" s="81">
        <v>111</v>
      </c>
      <c r="L617" s="81" t="s">
        <v>663</v>
      </c>
    </row>
    <row r="618" spans="1:12" ht="15" customHeight="1">
      <c r="A618" s="112">
        <v>11107866</v>
      </c>
      <c r="B618" s="112" t="s">
        <v>1763</v>
      </c>
      <c r="C618" s="81" t="s">
        <v>655</v>
      </c>
      <c r="D618" s="81">
        <v>1100</v>
      </c>
      <c r="E618" s="81" t="s">
        <v>596</v>
      </c>
      <c r="F618" s="81">
        <v>7866</v>
      </c>
      <c r="G618" s="81" t="s">
        <v>282</v>
      </c>
      <c r="H618" s="81">
        <v>7965</v>
      </c>
      <c r="I618" s="81" t="s">
        <v>653</v>
      </c>
      <c r="J618" s="81">
        <v>6</v>
      </c>
      <c r="K618" s="81">
        <v>111</v>
      </c>
      <c r="L618" s="81" t="s">
        <v>663</v>
      </c>
    </row>
    <row r="619" spans="1:12" ht="15" customHeight="1">
      <c r="A619" s="112">
        <v>11107966</v>
      </c>
      <c r="B619" s="112" t="s">
        <v>1764</v>
      </c>
      <c r="C619" s="81" t="s">
        <v>655</v>
      </c>
      <c r="D619" s="81">
        <v>1100</v>
      </c>
      <c r="E619" s="81" t="s">
        <v>596</v>
      </c>
      <c r="F619" s="81">
        <v>7966</v>
      </c>
      <c r="G619" s="81" t="s">
        <v>282</v>
      </c>
      <c r="H619" s="81">
        <v>8065</v>
      </c>
      <c r="I619" s="81" t="s">
        <v>654</v>
      </c>
      <c r="J619" s="81">
        <v>6</v>
      </c>
      <c r="K619" s="81">
        <v>111</v>
      </c>
      <c r="L619" s="81" t="s">
        <v>663</v>
      </c>
    </row>
    <row r="620" spans="1:12" ht="15" customHeight="1">
      <c r="A620" s="112">
        <v>11200000</v>
      </c>
      <c r="B620" s="112" t="s">
        <v>1765</v>
      </c>
      <c r="C620" s="81" t="s">
        <v>655</v>
      </c>
      <c r="D620" s="81">
        <v>1100</v>
      </c>
      <c r="E620" s="81" t="s">
        <v>264</v>
      </c>
      <c r="F620" s="81">
        <v>0</v>
      </c>
      <c r="G620" s="81" t="s">
        <v>282</v>
      </c>
      <c r="H620" s="81">
        <v>2630</v>
      </c>
      <c r="I620" s="81" t="s">
        <v>597</v>
      </c>
      <c r="J620" s="81">
        <v>0</v>
      </c>
      <c r="K620" s="81">
        <v>112</v>
      </c>
      <c r="L620" s="81" t="s">
        <v>663</v>
      </c>
    </row>
    <row r="621" spans="1:12" ht="15" customHeight="1">
      <c r="A621" s="112">
        <v>11202631</v>
      </c>
      <c r="B621" s="112" t="s">
        <v>1766</v>
      </c>
      <c r="C621" s="81" t="s">
        <v>655</v>
      </c>
      <c r="D621" s="81">
        <v>1100</v>
      </c>
      <c r="E621" s="81" t="s">
        <v>264</v>
      </c>
      <c r="F621" s="81">
        <v>2631</v>
      </c>
      <c r="G621" s="81" t="s">
        <v>282</v>
      </c>
      <c r="H621" s="81">
        <v>2700</v>
      </c>
      <c r="I621" s="81" t="s">
        <v>599</v>
      </c>
      <c r="J621" s="81">
        <v>0</v>
      </c>
      <c r="K621" s="81">
        <v>112</v>
      </c>
      <c r="L621" s="81" t="s">
        <v>663</v>
      </c>
    </row>
    <row r="622" spans="1:12" ht="15" customHeight="1">
      <c r="A622" s="112">
        <v>11202701</v>
      </c>
      <c r="B622" s="112" t="s">
        <v>1767</v>
      </c>
      <c r="C622" s="81" t="s">
        <v>655</v>
      </c>
      <c r="D622" s="81">
        <v>1100</v>
      </c>
      <c r="E622" s="81" t="s">
        <v>264</v>
      </c>
      <c r="F622" s="81">
        <v>2701</v>
      </c>
      <c r="G622" s="81" t="s">
        <v>282</v>
      </c>
      <c r="H622" s="81">
        <v>2750</v>
      </c>
      <c r="I622" s="81" t="s">
        <v>600</v>
      </c>
      <c r="J622" s="81">
        <v>0</v>
      </c>
      <c r="K622" s="81">
        <v>112</v>
      </c>
      <c r="L622" s="81" t="s">
        <v>663</v>
      </c>
    </row>
    <row r="623" spans="1:12" ht="15" customHeight="1">
      <c r="A623" s="112">
        <v>11202751</v>
      </c>
      <c r="B623" s="112" t="s">
        <v>1768</v>
      </c>
      <c r="C623" s="81" t="s">
        <v>655</v>
      </c>
      <c r="D623" s="81">
        <v>1100</v>
      </c>
      <c r="E623" s="81" t="s">
        <v>264</v>
      </c>
      <c r="F623" s="81">
        <v>2751</v>
      </c>
      <c r="G623" s="81" t="s">
        <v>282</v>
      </c>
      <c r="H623" s="81">
        <v>2850</v>
      </c>
      <c r="I623" s="81" t="s">
        <v>602</v>
      </c>
      <c r="J623" s="81">
        <v>0</v>
      </c>
      <c r="K623" s="81">
        <v>112</v>
      </c>
      <c r="L623" s="81" t="s">
        <v>663</v>
      </c>
    </row>
    <row r="624" spans="1:12" ht="15" customHeight="1">
      <c r="A624" s="112">
        <v>11202851</v>
      </c>
      <c r="B624" s="112" t="s">
        <v>1769</v>
      </c>
      <c r="C624" s="81" t="s">
        <v>655</v>
      </c>
      <c r="D624" s="81">
        <v>1100</v>
      </c>
      <c r="E624" s="81" t="s">
        <v>264</v>
      </c>
      <c r="F624" s="81">
        <v>2851</v>
      </c>
      <c r="G624" s="81" t="s">
        <v>282</v>
      </c>
      <c r="H624" s="81">
        <v>2950</v>
      </c>
      <c r="I624" s="81" t="s">
        <v>603</v>
      </c>
      <c r="J624" s="81">
        <v>0</v>
      </c>
      <c r="K624" s="81">
        <v>112</v>
      </c>
      <c r="L624" s="81" t="s">
        <v>663</v>
      </c>
    </row>
    <row r="625" spans="1:12" ht="15" customHeight="1">
      <c r="A625" s="112">
        <v>11202951</v>
      </c>
      <c r="B625" s="112" t="s">
        <v>1770</v>
      </c>
      <c r="C625" s="81" t="s">
        <v>655</v>
      </c>
      <c r="D625" s="81">
        <v>1100</v>
      </c>
      <c r="E625" s="81" t="s">
        <v>264</v>
      </c>
      <c r="F625" s="81">
        <v>2951</v>
      </c>
      <c r="G625" s="81" t="s">
        <v>282</v>
      </c>
      <c r="H625" s="81">
        <v>3050</v>
      </c>
      <c r="I625" s="81" t="s">
        <v>604</v>
      </c>
      <c r="J625" s="81">
        <v>0</v>
      </c>
      <c r="K625" s="81">
        <v>112</v>
      </c>
      <c r="L625" s="81" t="s">
        <v>663</v>
      </c>
    </row>
    <row r="626" spans="1:12" ht="15" customHeight="1">
      <c r="A626" s="112">
        <v>11203051</v>
      </c>
      <c r="B626" s="112" t="s">
        <v>1771</v>
      </c>
      <c r="C626" s="81" t="s">
        <v>655</v>
      </c>
      <c r="D626" s="81">
        <v>1100</v>
      </c>
      <c r="E626" s="81" t="s">
        <v>264</v>
      </c>
      <c r="F626" s="81">
        <v>3051</v>
      </c>
      <c r="G626" s="81" t="s">
        <v>282</v>
      </c>
      <c r="H626" s="81">
        <v>3150</v>
      </c>
      <c r="I626" s="81" t="s">
        <v>605</v>
      </c>
      <c r="J626" s="81">
        <v>0</v>
      </c>
      <c r="K626" s="81">
        <v>112</v>
      </c>
      <c r="L626" s="81" t="s">
        <v>663</v>
      </c>
    </row>
    <row r="627" spans="1:12" ht="15" customHeight="1">
      <c r="A627" s="112">
        <v>11203151</v>
      </c>
      <c r="B627" s="112" t="s">
        <v>1772</v>
      </c>
      <c r="C627" s="81" t="s">
        <v>655</v>
      </c>
      <c r="D627" s="81">
        <v>1100</v>
      </c>
      <c r="E627" s="81" t="s">
        <v>264</v>
      </c>
      <c r="F627" s="81">
        <v>3151</v>
      </c>
      <c r="G627" s="81" t="s">
        <v>282</v>
      </c>
      <c r="H627" s="81">
        <v>3250</v>
      </c>
      <c r="I627" s="81" t="s">
        <v>606</v>
      </c>
      <c r="J627" s="81">
        <v>0</v>
      </c>
      <c r="K627" s="81">
        <v>112</v>
      </c>
      <c r="L627" s="81" t="s">
        <v>663</v>
      </c>
    </row>
    <row r="628" spans="1:12" ht="15" customHeight="1">
      <c r="A628" s="112">
        <v>11203251</v>
      </c>
      <c r="B628" s="112" t="s">
        <v>1773</v>
      </c>
      <c r="C628" s="81" t="s">
        <v>655</v>
      </c>
      <c r="D628" s="81">
        <v>1100</v>
      </c>
      <c r="E628" s="81" t="s">
        <v>264</v>
      </c>
      <c r="F628" s="81">
        <v>3251</v>
      </c>
      <c r="G628" s="81" t="s">
        <v>282</v>
      </c>
      <c r="H628" s="81">
        <v>3350</v>
      </c>
      <c r="I628" s="81" t="s">
        <v>607</v>
      </c>
      <c r="J628" s="81">
        <v>0</v>
      </c>
      <c r="K628" s="81">
        <v>112</v>
      </c>
      <c r="L628" s="81" t="s">
        <v>663</v>
      </c>
    </row>
    <row r="629" spans="1:12" ht="15" customHeight="1">
      <c r="A629" s="112">
        <v>11203351</v>
      </c>
      <c r="B629" s="112" t="s">
        <v>1774</v>
      </c>
      <c r="C629" s="81" t="s">
        <v>655</v>
      </c>
      <c r="D629" s="81">
        <v>1100</v>
      </c>
      <c r="E629" s="81" t="s">
        <v>264</v>
      </c>
      <c r="F629" s="81">
        <v>3351</v>
      </c>
      <c r="G629" s="81" t="s">
        <v>282</v>
      </c>
      <c r="H629" s="81">
        <v>3450</v>
      </c>
      <c r="I629" s="81" t="s">
        <v>608</v>
      </c>
      <c r="J629" s="81">
        <v>0</v>
      </c>
      <c r="K629" s="81">
        <v>112</v>
      </c>
      <c r="L629" s="81" t="s">
        <v>663</v>
      </c>
    </row>
    <row r="630" spans="1:12" ht="15" customHeight="1">
      <c r="A630" s="112">
        <v>11203451</v>
      </c>
      <c r="B630" s="112" t="s">
        <v>1775</v>
      </c>
      <c r="C630" s="81" t="s">
        <v>655</v>
      </c>
      <c r="D630" s="81">
        <v>1100</v>
      </c>
      <c r="E630" s="81" t="s">
        <v>264</v>
      </c>
      <c r="F630" s="81">
        <v>3451</v>
      </c>
      <c r="G630" s="81" t="s">
        <v>282</v>
      </c>
      <c r="H630" s="81">
        <v>3550</v>
      </c>
      <c r="I630" s="81" t="s">
        <v>609</v>
      </c>
      <c r="J630" s="81">
        <v>0</v>
      </c>
      <c r="K630" s="81">
        <v>112</v>
      </c>
      <c r="L630" s="81" t="s">
        <v>663</v>
      </c>
    </row>
    <row r="631" spans="1:12" ht="15" customHeight="1">
      <c r="A631" s="112">
        <v>11203551</v>
      </c>
      <c r="B631" s="112" t="s">
        <v>1776</v>
      </c>
      <c r="C631" s="81" t="s">
        <v>655</v>
      </c>
      <c r="D631" s="81">
        <v>1100</v>
      </c>
      <c r="E631" s="81" t="s">
        <v>264</v>
      </c>
      <c r="F631" s="81">
        <v>3551</v>
      </c>
      <c r="G631" s="81" t="s">
        <v>282</v>
      </c>
      <c r="H631" s="81">
        <v>3650</v>
      </c>
      <c r="I631" s="81" t="s">
        <v>610</v>
      </c>
      <c r="J631" s="81">
        <v>0</v>
      </c>
      <c r="K631" s="81">
        <v>112</v>
      </c>
      <c r="L631" s="81" t="s">
        <v>663</v>
      </c>
    </row>
    <row r="632" spans="1:12" ht="15" customHeight="1">
      <c r="A632" s="112">
        <v>11203651</v>
      </c>
      <c r="B632" s="112" t="s">
        <v>1777</v>
      </c>
      <c r="C632" s="81" t="s">
        <v>655</v>
      </c>
      <c r="D632" s="81">
        <v>1100</v>
      </c>
      <c r="E632" s="81" t="s">
        <v>264</v>
      </c>
      <c r="F632" s="81">
        <v>3651</v>
      </c>
      <c r="G632" s="81" t="s">
        <v>282</v>
      </c>
      <c r="H632" s="81">
        <v>3750</v>
      </c>
      <c r="I632" s="81" t="s">
        <v>611</v>
      </c>
      <c r="J632" s="81">
        <v>1</v>
      </c>
      <c r="K632" s="81">
        <v>112</v>
      </c>
      <c r="L632" s="81" t="s">
        <v>663</v>
      </c>
    </row>
    <row r="633" spans="1:12" ht="15" customHeight="1">
      <c r="A633" s="112">
        <v>11203751</v>
      </c>
      <c r="B633" s="112" t="s">
        <v>1778</v>
      </c>
      <c r="C633" s="81" t="s">
        <v>655</v>
      </c>
      <c r="D633" s="81">
        <v>1100</v>
      </c>
      <c r="E633" s="81" t="s">
        <v>264</v>
      </c>
      <c r="F633" s="81">
        <v>3751</v>
      </c>
      <c r="G633" s="81" t="s">
        <v>282</v>
      </c>
      <c r="H633" s="81">
        <v>3850</v>
      </c>
      <c r="I633" s="81" t="s">
        <v>612</v>
      </c>
      <c r="J633" s="81">
        <v>1</v>
      </c>
      <c r="K633" s="81">
        <v>112</v>
      </c>
      <c r="L633" s="81" t="s">
        <v>663</v>
      </c>
    </row>
    <row r="634" spans="1:12" ht="15" customHeight="1">
      <c r="A634" s="112">
        <v>11203851</v>
      </c>
      <c r="B634" s="112" t="s">
        <v>1779</v>
      </c>
      <c r="C634" s="81" t="s">
        <v>655</v>
      </c>
      <c r="D634" s="81">
        <v>1100</v>
      </c>
      <c r="E634" s="81" t="s">
        <v>264</v>
      </c>
      <c r="F634" s="81">
        <v>3851</v>
      </c>
      <c r="G634" s="81" t="s">
        <v>282</v>
      </c>
      <c r="H634" s="81">
        <v>3950</v>
      </c>
      <c r="I634" s="81" t="s">
        <v>613</v>
      </c>
      <c r="J634" s="81">
        <v>1</v>
      </c>
      <c r="K634" s="81">
        <v>112</v>
      </c>
      <c r="L634" s="81" t="s">
        <v>663</v>
      </c>
    </row>
    <row r="635" spans="1:12" ht="15" customHeight="1">
      <c r="A635" s="112">
        <v>11203951</v>
      </c>
      <c r="B635" s="112" t="s">
        <v>1780</v>
      </c>
      <c r="C635" s="81" t="s">
        <v>655</v>
      </c>
      <c r="D635" s="81">
        <v>1100</v>
      </c>
      <c r="E635" s="81" t="s">
        <v>264</v>
      </c>
      <c r="F635" s="81">
        <v>3951</v>
      </c>
      <c r="G635" s="81" t="s">
        <v>282</v>
      </c>
      <c r="H635" s="81">
        <v>4050</v>
      </c>
      <c r="I635" s="81" t="s">
        <v>614</v>
      </c>
      <c r="J635" s="81">
        <v>1</v>
      </c>
      <c r="K635" s="81">
        <v>112</v>
      </c>
      <c r="L635" s="81" t="s">
        <v>663</v>
      </c>
    </row>
    <row r="636" spans="1:12" ht="15" customHeight="1">
      <c r="A636" s="112">
        <v>11204051</v>
      </c>
      <c r="B636" s="112" t="s">
        <v>1781</v>
      </c>
      <c r="C636" s="81" t="s">
        <v>655</v>
      </c>
      <c r="D636" s="81">
        <v>1100</v>
      </c>
      <c r="E636" s="81" t="s">
        <v>264</v>
      </c>
      <c r="F636" s="81">
        <v>4051</v>
      </c>
      <c r="G636" s="81" t="s">
        <v>282</v>
      </c>
      <c r="H636" s="81">
        <v>4150</v>
      </c>
      <c r="I636" s="81" t="s">
        <v>615</v>
      </c>
      <c r="J636" s="81">
        <v>1</v>
      </c>
      <c r="K636" s="81">
        <v>112</v>
      </c>
      <c r="L636" s="81" t="s">
        <v>663</v>
      </c>
    </row>
    <row r="637" spans="1:12" ht="15" customHeight="1">
      <c r="A637" s="112">
        <v>11204151</v>
      </c>
      <c r="B637" s="112" t="s">
        <v>1782</v>
      </c>
      <c r="C637" s="81" t="s">
        <v>655</v>
      </c>
      <c r="D637" s="81">
        <v>1100</v>
      </c>
      <c r="E637" s="81" t="s">
        <v>264</v>
      </c>
      <c r="F637" s="81">
        <v>4151</v>
      </c>
      <c r="G637" s="81" t="s">
        <v>282</v>
      </c>
      <c r="H637" s="81">
        <v>4250</v>
      </c>
      <c r="I637" s="81" t="s">
        <v>616</v>
      </c>
      <c r="J637" s="81">
        <v>1</v>
      </c>
      <c r="K637" s="81">
        <v>112</v>
      </c>
      <c r="L637" s="81" t="s">
        <v>663</v>
      </c>
    </row>
    <row r="638" spans="1:12" ht="15" customHeight="1">
      <c r="A638" s="112">
        <v>11204251</v>
      </c>
      <c r="B638" s="112" t="s">
        <v>1783</v>
      </c>
      <c r="C638" s="81" t="s">
        <v>655</v>
      </c>
      <c r="D638" s="81">
        <v>1100</v>
      </c>
      <c r="E638" s="81" t="s">
        <v>264</v>
      </c>
      <c r="F638" s="81">
        <v>4251</v>
      </c>
      <c r="G638" s="81" t="s">
        <v>282</v>
      </c>
      <c r="H638" s="81">
        <v>4350</v>
      </c>
      <c r="I638" s="81" t="s">
        <v>617</v>
      </c>
      <c r="J638" s="81">
        <v>1</v>
      </c>
      <c r="K638" s="81">
        <v>112</v>
      </c>
      <c r="L638" s="81" t="s">
        <v>663</v>
      </c>
    </row>
    <row r="639" spans="1:12" ht="15" customHeight="1">
      <c r="A639" s="112">
        <v>11204351</v>
      </c>
      <c r="B639" s="112" t="s">
        <v>1784</v>
      </c>
      <c r="C639" s="81" t="s">
        <v>655</v>
      </c>
      <c r="D639" s="81">
        <v>1100</v>
      </c>
      <c r="E639" s="81" t="s">
        <v>264</v>
      </c>
      <c r="F639" s="81">
        <v>4351</v>
      </c>
      <c r="G639" s="81" t="s">
        <v>282</v>
      </c>
      <c r="H639" s="81">
        <v>4450</v>
      </c>
      <c r="I639" s="81" t="s">
        <v>618</v>
      </c>
      <c r="J639" s="81">
        <v>1</v>
      </c>
      <c r="K639" s="81">
        <v>112</v>
      </c>
      <c r="L639" s="81" t="s">
        <v>663</v>
      </c>
    </row>
    <row r="640" spans="1:12" ht="15" customHeight="1">
      <c r="A640" s="112">
        <v>11204451</v>
      </c>
      <c r="B640" s="112" t="s">
        <v>1785</v>
      </c>
      <c r="C640" s="81" t="s">
        <v>655</v>
      </c>
      <c r="D640" s="81">
        <v>1100</v>
      </c>
      <c r="E640" s="81" t="s">
        <v>264</v>
      </c>
      <c r="F640" s="81">
        <v>4451</v>
      </c>
      <c r="G640" s="81" t="s">
        <v>282</v>
      </c>
      <c r="H640" s="81">
        <v>4550</v>
      </c>
      <c r="I640" s="81" t="s">
        <v>619</v>
      </c>
      <c r="J640" s="81">
        <v>2</v>
      </c>
      <c r="K640" s="81">
        <v>112</v>
      </c>
      <c r="L640" s="81" t="s">
        <v>663</v>
      </c>
    </row>
    <row r="641" spans="1:12" ht="15" customHeight="1">
      <c r="A641" s="112">
        <v>11204551</v>
      </c>
      <c r="B641" s="112" t="s">
        <v>1786</v>
      </c>
      <c r="C641" s="81" t="s">
        <v>655</v>
      </c>
      <c r="D641" s="81">
        <v>1100</v>
      </c>
      <c r="E641" s="81" t="s">
        <v>264</v>
      </c>
      <c r="F641" s="81">
        <v>4551</v>
      </c>
      <c r="G641" s="81" t="s">
        <v>282</v>
      </c>
      <c r="H641" s="81">
        <v>4650</v>
      </c>
      <c r="I641" s="81" t="s">
        <v>620</v>
      </c>
      <c r="J641" s="81">
        <v>2</v>
      </c>
      <c r="K641" s="81">
        <v>112</v>
      </c>
      <c r="L641" s="81" t="s">
        <v>663</v>
      </c>
    </row>
    <row r="642" spans="1:12" ht="15" customHeight="1">
      <c r="A642" s="112">
        <v>11204651</v>
      </c>
      <c r="B642" s="112" t="s">
        <v>1787</v>
      </c>
      <c r="C642" s="81" t="s">
        <v>655</v>
      </c>
      <c r="D642" s="81">
        <v>1100</v>
      </c>
      <c r="E642" s="81" t="s">
        <v>264</v>
      </c>
      <c r="F642" s="81">
        <v>4651</v>
      </c>
      <c r="G642" s="81" t="s">
        <v>282</v>
      </c>
      <c r="H642" s="81">
        <v>4750</v>
      </c>
      <c r="I642" s="81" t="s">
        <v>621</v>
      </c>
      <c r="J642" s="81">
        <v>2</v>
      </c>
      <c r="K642" s="81">
        <v>112</v>
      </c>
      <c r="L642" s="81" t="s">
        <v>663</v>
      </c>
    </row>
    <row r="643" spans="1:12" ht="15" customHeight="1">
      <c r="A643" s="112">
        <v>11204751</v>
      </c>
      <c r="B643" s="112" t="s">
        <v>1788</v>
      </c>
      <c r="C643" s="81" t="s">
        <v>655</v>
      </c>
      <c r="D643" s="81">
        <v>1100</v>
      </c>
      <c r="E643" s="81" t="s">
        <v>264</v>
      </c>
      <c r="F643" s="81">
        <v>4751</v>
      </c>
      <c r="G643" s="81" t="s">
        <v>282</v>
      </c>
      <c r="H643" s="81">
        <v>4850</v>
      </c>
      <c r="I643" s="81" t="s">
        <v>622</v>
      </c>
      <c r="J643" s="81">
        <v>2</v>
      </c>
      <c r="K643" s="81">
        <v>112</v>
      </c>
      <c r="L643" s="81" t="s">
        <v>663</v>
      </c>
    </row>
    <row r="644" spans="1:12" ht="15" customHeight="1">
      <c r="A644" s="112">
        <v>11204851</v>
      </c>
      <c r="B644" s="112" t="s">
        <v>1789</v>
      </c>
      <c r="C644" s="81" t="s">
        <v>655</v>
      </c>
      <c r="D644" s="81">
        <v>1100</v>
      </c>
      <c r="E644" s="81" t="s">
        <v>264</v>
      </c>
      <c r="F644" s="81">
        <v>4851</v>
      </c>
      <c r="G644" s="81" t="s">
        <v>282</v>
      </c>
      <c r="H644" s="81">
        <v>4950</v>
      </c>
      <c r="I644" s="81" t="s">
        <v>623</v>
      </c>
      <c r="J644" s="81">
        <v>2</v>
      </c>
      <c r="K644" s="81">
        <v>112</v>
      </c>
      <c r="L644" s="81" t="s">
        <v>663</v>
      </c>
    </row>
    <row r="645" spans="1:12" ht="15" customHeight="1">
      <c r="A645" s="112">
        <v>11204951</v>
      </c>
      <c r="B645" s="112" t="s">
        <v>1790</v>
      </c>
      <c r="C645" s="81" t="s">
        <v>655</v>
      </c>
      <c r="D645" s="81">
        <v>1100</v>
      </c>
      <c r="E645" s="81" t="s">
        <v>264</v>
      </c>
      <c r="F645" s="81">
        <v>4951</v>
      </c>
      <c r="G645" s="81" t="s">
        <v>282</v>
      </c>
      <c r="H645" s="81">
        <v>5050</v>
      </c>
      <c r="I645" s="81" t="s">
        <v>624</v>
      </c>
      <c r="J645" s="81">
        <v>2</v>
      </c>
      <c r="K645" s="81">
        <v>112</v>
      </c>
      <c r="L645" s="81" t="s">
        <v>663</v>
      </c>
    </row>
    <row r="646" spans="1:12" ht="15" customHeight="1">
      <c r="A646" s="112">
        <v>11205051</v>
      </c>
      <c r="B646" s="112" t="s">
        <v>1791</v>
      </c>
      <c r="C646" s="81" t="s">
        <v>655</v>
      </c>
      <c r="D646" s="81">
        <v>1100</v>
      </c>
      <c r="E646" s="81" t="s">
        <v>264</v>
      </c>
      <c r="F646" s="81">
        <v>5051</v>
      </c>
      <c r="G646" s="81" t="s">
        <v>282</v>
      </c>
      <c r="H646" s="81">
        <v>5150</v>
      </c>
      <c r="I646" s="81" t="s">
        <v>625</v>
      </c>
      <c r="J646" s="81">
        <v>2</v>
      </c>
      <c r="K646" s="81">
        <v>112</v>
      </c>
      <c r="L646" s="81" t="s">
        <v>663</v>
      </c>
    </row>
    <row r="647" spans="1:12" ht="15" customHeight="1">
      <c r="A647" s="112">
        <v>11205151</v>
      </c>
      <c r="B647" s="112" t="s">
        <v>1792</v>
      </c>
      <c r="C647" s="81" t="s">
        <v>655</v>
      </c>
      <c r="D647" s="81">
        <v>1100</v>
      </c>
      <c r="E647" s="81" t="s">
        <v>264</v>
      </c>
      <c r="F647" s="81">
        <v>5151</v>
      </c>
      <c r="G647" s="81" t="s">
        <v>282</v>
      </c>
      <c r="H647" s="81">
        <v>5250</v>
      </c>
      <c r="I647" s="81" t="s">
        <v>626</v>
      </c>
      <c r="J647" s="81">
        <v>2</v>
      </c>
      <c r="K647" s="81">
        <v>112</v>
      </c>
      <c r="L647" s="81" t="s">
        <v>663</v>
      </c>
    </row>
    <row r="648" spans="1:12" ht="15" customHeight="1">
      <c r="A648" s="112">
        <v>11205251</v>
      </c>
      <c r="B648" s="112" t="s">
        <v>1793</v>
      </c>
      <c r="C648" s="81" t="s">
        <v>655</v>
      </c>
      <c r="D648" s="81">
        <v>1100</v>
      </c>
      <c r="E648" s="81" t="s">
        <v>264</v>
      </c>
      <c r="F648" s="81">
        <v>5251</v>
      </c>
      <c r="G648" s="81" t="s">
        <v>282</v>
      </c>
      <c r="H648" s="81">
        <v>5350</v>
      </c>
      <c r="I648" s="81" t="s">
        <v>627</v>
      </c>
      <c r="J648" s="81">
        <v>3</v>
      </c>
      <c r="K648" s="81">
        <v>112</v>
      </c>
      <c r="L648" s="81" t="s">
        <v>663</v>
      </c>
    </row>
    <row r="649" spans="1:12" ht="15" customHeight="1">
      <c r="A649" s="112">
        <v>11205351</v>
      </c>
      <c r="B649" s="112" t="s">
        <v>1794</v>
      </c>
      <c r="C649" s="81" t="s">
        <v>655</v>
      </c>
      <c r="D649" s="81">
        <v>1100</v>
      </c>
      <c r="E649" s="81" t="s">
        <v>264</v>
      </c>
      <c r="F649" s="81">
        <v>5351</v>
      </c>
      <c r="G649" s="81" t="s">
        <v>282</v>
      </c>
      <c r="H649" s="81">
        <v>5450</v>
      </c>
      <c r="I649" s="81" t="s">
        <v>628</v>
      </c>
      <c r="J649" s="81">
        <v>3</v>
      </c>
      <c r="K649" s="81">
        <v>112</v>
      </c>
      <c r="L649" s="81" t="s">
        <v>663</v>
      </c>
    </row>
    <row r="650" spans="1:12" ht="15" customHeight="1">
      <c r="A650" s="112">
        <v>11205451</v>
      </c>
      <c r="B650" s="112" t="s">
        <v>1795</v>
      </c>
      <c r="C650" s="81" t="s">
        <v>655</v>
      </c>
      <c r="D650" s="81">
        <v>1100</v>
      </c>
      <c r="E650" s="81" t="s">
        <v>264</v>
      </c>
      <c r="F650" s="81">
        <v>5451</v>
      </c>
      <c r="G650" s="81" t="s">
        <v>282</v>
      </c>
      <c r="H650" s="81">
        <v>5550</v>
      </c>
      <c r="I650" s="81" t="s">
        <v>629</v>
      </c>
      <c r="J650" s="81">
        <v>3</v>
      </c>
      <c r="K650" s="81">
        <v>112</v>
      </c>
      <c r="L650" s="81" t="s">
        <v>663</v>
      </c>
    </row>
    <row r="651" spans="1:12" ht="15" customHeight="1">
      <c r="A651" s="112">
        <v>11205551</v>
      </c>
      <c r="B651" s="112" t="s">
        <v>1796</v>
      </c>
      <c r="C651" s="81" t="s">
        <v>655</v>
      </c>
      <c r="D651" s="81">
        <v>1100</v>
      </c>
      <c r="E651" s="81" t="s">
        <v>264</v>
      </c>
      <c r="F651" s="81">
        <v>5551</v>
      </c>
      <c r="G651" s="81" t="s">
        <v>282</v>
      </c>
      <c r="H651" s="81">
        <v>5650</v>
      </c>
      <c r="I651" s="81" t="s">
        <v>630</v>
      </c>
      <c r="J651" s="81">
        <v>3</v>
      </c>
      <c r="K651" s="81">
        <v>112</v>
      </c>
      <c r="L651" s="81" t="s">
        <v>663</v>
      </c>
    </row>
    <row r="652" spans="1:12" ht="15" customHeight="1">
      <c r="A652" s="112">
        <v>11205651</v>
      </c>
      <c r="B652" s="112" t="s">
        <v>1797</v>
      </c>
      <c r="C652" s="81" t="s">
        <v>655</v>
      </c>
      <c r="D652" s="81">
        <v>1100</v>
      </c>
      <c r="E652" s="81" t="s">
        <v>264</v>
      </c>
      <c r="F652" s="81">
        <v>5651</v>
      </c>
      <c r="G652" s="81" t="s">
        <v>282</v>
      </c>
      <c r="H652" s="81">
        <v>5750</v>
      </c>
      <c r="I652" s="81" t="s">
        <v>631</v>
      </c>
      <c r="J652" s="81">
        <v>3</v>
      </c>
      <c r="K652" s="81">
        <v>112</v>
      </c>
      <c r="L652" s="81" t="s">
        <v>663</v>
      </c>
    </row>
    <row r="653" spans="1:12" ht="15" customHeight="1">
      <c r="A653" s="112">
        <v>11205751</v>
      </c>
      <c r="B653" s="112" t="s">
        <v>1798</v>
      </c>
      <c r="C653" s="81" t="s">
        <v>655</v>
      </c>
      <c r="D653" s="81">
        <v>1100</v>
      </c>
      <c r="E653" s="81" t="s">
        <v>264</v>
      </c>
      <c r="F653" s="81">
        <v>5751</v>
      </c>
      <c r="G653" s="81" t="s">
        <v>282</v>
      </c>
      <c r="H653" s="81">
        <v>5850</v>
      </c>
      <c r="I653" s="81" t="s">
        <v>632</v>
      </c>
      <c r="J653" s="81">
        <v>3</v>
      </c>
      <c r="K653" s="81">
        <v>112</v>
      </c>
      <c r="L653" s="81" t="s">
        <v>663</v>
      </c>
    </row>
    <row r="654" spans="1:12" ht="15" customHeight="1">
      <c r="A654" s="112">
        <v>11205851</v>
      </c>
      <c r="B654" s="112" t="s">
        <v>1799</v>
      </c>
      <c r="C654" s="81" t="s">
        <v>655</v>
      </c>
      <c r="D654" s="81">
        <v>1100</v>
      </c>
      <c r="E654" s="81" t="s">
        <v>264</v>
      </c>
      <c r="F654" s="81">
        <v>5851</v>
      </c>
      <c r="G654" s="81" t="s">
        <v>282</v>
      </c>
      <c r="H654" s="81">
        <v>5950</v>
      </c>
      <c r="I654" s="81" t="s">
        <v>633</v>
      </c>
      <c r="J654" s="81">
        <v>3</v>
      </c>
      <c r="K654" s="81">
        <v>112</v>
      </c>
      <c r="L654" s="81" t="s">
        <v>663</v>
      </c>
    </row>
    <row r="655" spans="1:12" ht="15" customHeight="1">
      <c r="A655" s="112">
        <v>11205951</v>
      </c>
      <c r="B655" s="112" t="s">
        <v>1800</v>
      </c>
      <c r="C655" s="81" t="s">
        <v>655</v>
      </c>
      <c r="D655" s="81">
        <v>1100</v>
      </c>
      <c r="E655" s="81" t="s">
        <v>264</v>
      </c>
      <c r="F655" s="81">
        <v>5951</v>
      </c>
      <c r="G655" s="81" t="s">
        <v>282</v>
      </c>
      <c r="H655" s="81">
        <v>6050</v>
      </c>
      <c r="I655" s="81" t="s">
        <v>634</v>
      </c>
      <c r="J655" s="81">
        <v>3</v>
      </c>
      <c r="K655" s="81">
        <v>112</v>
      </c>
      <c r="L655" s="81" t="s">
        <v>663</v>
      </c>
    </row>
    <row r="656" spans="1:12" ht="15" customHeight="1">
      <c r="A656" s="112">
        <v>11206051</v>
      </c>
      <c r="B656" s="112" t="s">
        <v>1801</v>
      </c>
      <c r="C656" s="81" t="s">
        <v>655</v>
      </c>
      <c r="D656" s="81">
        <v>1100</v>
      </c>
      <c r="E656" s="81" t="s">
        <v>264</v>
      </c>
      <c r="F656" s="81">
        <v>6051</v>
      </c>
      <c r="G656" s="81" t="s">
        <v>282</v>
      </c>
      <c r="H656" s="81">
        <v>6150</v>
      </c>
      <c r="I656" s="81" t="s">
        <v>635</v>
      </c>
      <c r="J656" s="81">
        <v>4</v>
      </c>
      <c r="K656" s="81">
        <v>112</v>
      </c>
      <c r="L656" s="81" t="s">
        <v>663</v>
      </c>
    </row>
    <row r="657" spans="1:12" ht="15" customHeight="1">
      <c r="A657" s="112">
        <v>11206151</v>
      </c>
      <c r="B657" s="112" t="s">
        <v>1802</v>
      </c>
      <c r="C657" s="81" t="s">
        <v>655</v>
      </c>
      <c r="D657" s="81">
        <v>1100</v>
      </c>
      <c r="E657" s="81" t="s">
        <v>264</v>
      </c>
      <c r="F657" s="81">
        <v>6151</v>
      </c>
      <c r="G657" s="81" t="s">
        <v>282</v>
      </c>
      <c r="H657" s="81">
        <v>6250</v>
      </c>
      <c r="I657" s="81" t="s">
        <v>636</v>
      </c>
      <c r="J657" s="81">
        <v>4</v>
      </c>
      <c r="K657" s="81">
        <v>112</v>
      </c>
      <c r="L657" s="81" t="s">
        <v>663</v>
      </c>
    </row>
    <row r="658" spans="1:12" ht="15" customHeight="1">
      <c r="A658" s="112">
        <v>11206251</v>
      </c>
      <c r="B658" s="112" t="s">
        <v>1803</v>
      </c>
      <c r="C658" s="81" t="s">
        <v>655</v>
      </c>
      <c r="D658" s="81">
        <v>1100</v>
      </c>
      <c r="E658" s="81" t="s">
        <v>264</v>
      </c>
      <c r="F658" s="81">
        <v>6251</v>
      </c>
      <c r="G658" s="81" t="s">
        <v>282</v>
      </c>
      <c r="H658" s="81">
        <v>6350</v>
      </c>
      <c r="I658" s="81" t="s">
        <v>637</v>
      </c>
      <c r="J658" s="81">
        <v>4</v>
      </c>
      <c r="K658" s="81">
        <v>112</v>
      </c>
      <c r="L658" s="81" t="s">
        <v>663</v>
      </c>
    </row>
    <row r="659" spans="1:12" ht="15" customHeight="1">
      <c r="A659" s="112">
        <v>11206351</v>
      </c>
      <c r="B659" s="112" t="s">
        <v>1804</v>
      </c>
      <c r="C659" s="81" t="s">
        <v>655</v>
      </c>
      <c r="D659" s="81">
        <v>1100</v>
      </c>
      <c r="E659" s="81" t="s">
        <v>264</v>
      </c>
      <c r="F659" s="81">
        <v>6351</v>
      </c>
      <c r="G659" s="81" t="s">
        <v>282</v>
      </c>
      <c r="H659" s="81">
        <v>6450</v>
      </c>
      <c r="I659" s="81" t="s">
        <v>638</v>
      </c>
      <c r="J659" s="81">
        <v>4</v>
      </c>
      <c r="K659" s="81">
        <v>112</v>
      </c>
      <c r="L659" s="81" t="s">
        <v>663</v>
      </c>
    </row>
    <row r="660" spans="1:12" ht="15" customHeight="1">
      <c r="A660" s="112">
        <v>11206451</v>
      </c>
      <c r="B660" s="112" t="s">
        <v>1805</v>
      </c>
      <c r="C660" s="81" t="s">
        <v>655</v>
      </c>
      <c r="D660" s="81">
        <v>1100</v>
      </c>
      <c r="E660" s="81" t="s">
        <v>264</v>
      </c>
      <c r="F660" s="81">
        <v>6451</v>
      </c>
      <c r="G660" s="81" t="s">
        <v>282</v>
      </c>
      <c r="H660" s="81">
        <v>6550</v>
      </c>
      <c r="I660" s="81" t="s">
        <v>639</v>
      </c>
      <c r="J660" s="81">
        <v>4</v>
      </c>
      <c r="K660" s="81">
        <v>112</v>
      </c>
      <c r="L660" s="81" t="s">
        <v>663</v>
      </c>
    </row>
    <row r="661" spans="1:12" ht="15" customHeight="1">
      <c r="A661" s="112">
        <v>11206551</v>
      </c>
      <c r="B661" s="112" t="s">
        <v>1806</v>
      </c>
      <c r="C661" s="81" t="s">
        <v>655</v>
      </c>
      <c r="D661" s="81">
        <v>1100</v>
      </c>
      <c r="E661" s="81" t="s">
        <v>264</v>
      </c>
      <c r="F661" s="81">
        <v>6551</v>
      </c>
      <c r="G661" s="81" t="s">
        <v>282</v>
      </c>
      <c r="H661" s="81">
        <v>6650</v>
      </c>
      <c r="I661" s="81" t="s">
        <v>640</v>
      </c>
      <c r="J661" s="81">
        <v>4</v>
      </c>
      <c r="K661" s="81">
        <v>112</v>
      </c>
      <c r="L661" s="81" t="s">
        <v>663</v>
      </c>
    </row>
    <row r="662" spans="1:12" ht="15" customHeight="1">
      <c r="A662" s="112">
        <v>11206651</v>
      </c>
      <c r="B662" s="112" t="s">
        <v>1807</v>
      </c>
      <c r="C662" s="81" t="s">
        <v>655</v>
      </c>
      <c r="D662" s="81">
        <v>1100</v>
      </c>
      <c r="E662" s="81" t="s">
        <v>264</v>
      </c>
      <c r="F662" s="81">
        <v>6651</v>
      </c>
      <c r="G662" s="81" t="s">
        <v>282</v>
      </c>
      <c r="H662" s="81">
        <v>6750</v>
      </c>
      <c r="I662" s="81" t="s">
        <v>641</v>
      </c>
      <c r="J662" s="81">
        <v>4</v>
      </c>
      <c r="K662" s="81">
        <v>112</v>
      </c>
      <c r="L662" s="81" t="s">
        <v>663</v>
      </c>
    </row>
    <row r="663" spans="1:12" ht="15" customHeight="1">
      <c r="A663" s="112">
        <v>11206751</v>
      </c>
      <c r="B663" s="112" t="s">
        <v>1808</v>
      </c>
      <c r="C663" s="81" t="s">
        <v>655</v>
      </c>
      <c r="D663" s="81">
        <v>1100</v>
      </c>
      <c r="E663" s="81" t="s">
        <v>264</v>
      </c>
      <c r="F663" s="81">
        <v>6751</v>
      </c>
      <c r="G663" s="81" t="s">
        <v>282</v>
      </c>
      <c r="H663" s="81">
        <v>6850</v>
      </c>
      <c r="I663" s="81" t="s">
        <v>642</v>
      </c>
      <c r="J663" s="81">
        <v>4</v>
      </c>
      <c r="K663" s="81">
        <v>112</v>
      </c>
      <c r="L663" s="81" t="s">
        <v>663</v>
      </c>
    </row>
    <row r="664" spans="1:12" ht="15" customHeight="1">
      <c r="A664" s="112">
        <v>11206851</v>
      </c>
      <c r="B664" s="112" t="s">
        <v>1809</v>
      </c>
      <c r="C664" s="81" t="s">
        <v>655</v>
      </c>
      <c r="D664" s="81">
        <v>1100</v>
      </c>
      <c r="E664" s="81" t="s">
        <v>264</v>
      </c>
      <c r="F664" s="81">
        <v>6851</v>
      </c>
      <c r="G664" s="81" t="s">
        <v>282</v>
      </c>
      <c r="H664" s="81">
        <v>6950</v>
      </c>
      <c r="I664" s="81" t="s">
        <v>643</v>
      </c>
      <c r="J664" s="81">
        <v>5</v>
      </c>
      <c r="K664" s="81">
        <v>112</v>
      </c>
      <c r="L664" s="81" t="s">
        <v>663</v>
      </c>
    </row>
    <row r="665" spans="1:12" ht="15" customHeight="1">
      <c r="A665" s="112">
        <v>11206951</v>
      </c>
      <c r="B665" s="112" t="s">
        <v>1810</v>
      </c>
      <c r="C665" s="81" t="s">
        <v>655</v>
      </c>
      <c r="D665" s="81">
        <v>1100</v>
      </c>
      <c r="E665" s="81" t="s">
        <v>264</v>
      </c>
      <c r="F665" s="81">
        <v>6951</v>
      </c>
      <c r="G665" s="81" t="s">
        <v>282</v>
      </c>
      <c r="H665" s="81">
        <v>7050</v>
      </c>
      <c r="I665" s="81" t="s">
        <v>644</v>
      </c>
      <c r="J665" s="81">
        <v>5</v>
      </c>
      <c r="K665" s="81">
        <v>112</v>
      </c>
      <c r="L665" s="81" t="s">
        <v>663</v>
      </c>
    </row>
    <row r="666" spans="1:12" ht="15" customHeight="1">
      <c r="A666" s="112">
        <v>11207051</v>
      </c>
      <c r="B666" s="112" t="s">
        <v>1811</v>
      </c>
      <c r="C666" s="81" t="s">
        <v>655</v>
      </c>
      <c r="D666" s="81">
        <v>1100</v>
      </c>
      <c r="E666" s="81" t="s">
        <v>264</v>
      </c>
      <c r="F666" s="81">
        <v>7051</v>
      </c>
      <c r="G666" s="81" t="s">
        <v>282</v>
      </c>
      <c r="H666" s="81">
        <v>7150</v>
      </c>
      <c r="I666" s="81" t="s">
        <v>645</v>
      </c>
      <c r="J666" s="81">
        <v>5</v>
      </c>
      <c r="K666" s="81">
        <v>112</v>
      </c>
      <c r="L666" s="81" t="s">
        <v>663</v>
      </c>
    </row>
    <row r="667" spans="1:12" ht="15" customHeight="1">
      <c r="A667" s="112">
        <v>11207151</v>
      </c>
      <c r="B667" s="112" t="s">
        <v>1812</v>
      </c>
      <c r="C667" s="81" t="s">
        <v>655</v>
      </c>
      <c r="D667" s="81">
        <v>1100</v>
      </c>
      <c r="E667" s="81" t="s">
        <v>264</v>
      </c>
      <c r="F667" s="81">
        <v>7151</v>
      </c>
      <c r="G667" s="81" t="s">
        <v>282</v>
      </c>
      <c r="H667" s="81">
        <v>7250</v>
      </c>
      <c r="I667" s="81" t="s">
        <v>646</v>
      </c>
      <c r="J667" s="81">
        <v>5</v>
      </c>
      <c r="K667" s="81">
        <v>112</v>
      </c>
      <c r="L667" s="81" t="s">
        <v>663</v>
      </c>
    </row>
    <row r="668" spans="1:12" ht="15" customHeight="1">
      <c r="A668" s="112">
        <v>11207251</v>
      </c>
      <c r="B668" s="112" t="s">
        <v>1813</v>
      </c>
      <c r="C668" s="81" t="s">
        <v>655</v>
      </c>
      <c r="D668" s="81">
        <v>1100</v>
      </c>
      <c r="E668" s="81" t="s">
        <v>264</v>
      </c>
      <c r="F668" s="81">
        <v>7251</v>
      </c>
      <c r="G668" s="81" t="s">
        <v>282</v>
      </c>
      <c r="H668" s="81">
        <v>7350</v>
      </c>
      <c r="I668" s="81" t="s">
        <v>647</v>
      </c>
      <c r="J668" s="81">
        <v>5</v>
      </c>
      <c r="K668" s="81">
        <v>112</v>
      </c>
      <c r="L668" s="81" t="s">
        <v>663</v>
      </c>
    </row>
    <row r="669" spans="1:12" ht="15" customHeight="1">
      <c r="A669" s="112">
        <v>11207351</v>
      </c>
      <c r="B669" s="112" t="s">
        <v>1814</v>
      </c>
      <c r="C669" s="81" t="s">
        <v>655</v>
      </c>
      <c r="D669" s="81">
        <v>1100</v>
      </c>
      <c r="E669" s="81" t="s">
        <v>264</v>
      </c>
      <c r="F669" s="81">
        <v>7351</v>
      </c>
      <c r="G669" s="81" t="s">
        <v>282</v>
      </c>
      <c r="H669" s="81">
        <v>7450</v>
      </c>
      <c r="I669" s="81" t="s">
        <v>648</v>
      </c>
      <c r="J669" s="81">
        <v>5</v>
      </c>
      <c r="K669" s="81">
        <v>112</v>
      </c>
      <c r="L669" s="81" t="s">
        <v>663</v>
      </c>
    </row>
    <row r="670" spans="1:12" ht="15" customHeight="1">
      <c r="A670" s="112">
        <v>11207451</v>
      </c>
      <c r="B670" s="112" t="s">
        <v>1815</v>
      </c>
      <c r="C670" s="81" t="s">
        <v>655</v>
      </c>
      <c r="D670" s="81">
        <v>1100</v>
      </c>
      <c r="E670" s="81" t="s">
        <v>264</v>
      </c>
      <c r="F670" s="81">
        <v>7451</v>
      </c>
      <c r="G670" s="81" t="s">
        <v>282</v>
      </c>
      <c r="H670" s="81">
        <v>7550</v>
      </c>
      <c r="I670" s="81" t="s">
        <v>649</v>
      </c>
      <c r="J670" s="81">
        <v>5</v>
      </c>
      <c r="K670" s="81">
        <v>112</v>
      </c>
      <c r="L670" s="81" t="s">
        <v>663</v>
      </c>
    </row>
    <row r="671" spans="1:12" ht="15" customHeight="1">
      <c r="A671" s="112">
        <v>11207551</v>
      </c>
      <c r="B671" s="112" t="s">
        <v>1816</v>
      </c>
      <c r="C671" s="81" t="s">
        <v>655</v>
      </c>
      <c r="D671" s="81">
        <v>1100</v>
      </c>
      <c r="E671" s="81" t="s">
        <v>264</v>
      </c>
      <c r="F671" s="81">
        <v>7551</v>
      </c>
      <c r="G671" s="81" t="s">
        <v>282</v>
      </c>
      <c r="H671" s="81">
        <v>7650</v>
      </c>
      <c r="I671" s="81" t="s">
        <v>650</v>
      </c>
      <c r="J671" s="81">
        <v>5</v>
      </c>
      <c r="K671" s="81">
        <v>112</v>
      </c>
      <c r="L671" s="81" t="s">
        <v>663</v>
      </c>
    </row>
    <row r="672" spans="1:12" ht="15" customHeight="1">
      <c r="A672" s="112">
        <v>11207651</v>
      </c>
      <c r="B672" s="112" t="s">
        <v>1817</v>
      </c>
      <c r="C672" s="81" t="s">
        <v>655</v>
      </c>
      <c r="D672" s="81">
        <v>1100</v>
      </c>
      <c r="E672" s="81" t="s">
        <v>264</v>
      </c>
      <c r="F672" s="81">
        <v>7651</v>
      </c>
      <c r="G672" s="81" t="s">
        <v>282</v>
      </c>
      <c r="H672" s="81">
        <v>7750</v>
      </c>
      <c r="I672" s="81" t="s">
        <v>651</v>
      </c>
      <c r="J672" s="81">
        <v>6</v>
      </c>
      <c r="K672" s="81">
        <v>112</v>
      </c>
      <c r="L672" s="81" t="s">
        <v>663</v>
      </c>
    </row>
    <row r="673" spans="1:12" ht="15" customHeight="1">
      <c r="A673" s="112">
        <v>11207751</v>
      </c>
      <c r="B673" s="112" t="s">
        <v>1818</v>
      </c>
      <c r="C673" s="81" t="s">
        <v>655</v>
      </c>
      <c r="D673" s="81">
        <v>1100</v>
      </c>
      <c r="E673" s="81" t="s">
        <v>264</v>
      </c>
      <c r="F673" s="81">
        <v>7751</v>
      </c>
      <c r="G673" s="81" t="s">
        <v>282</v>
      </c>
      <c r="H673" s="81">
        <v>7850</v>
      </c>
      <c r="I673" s="81" t="s">
        <v>652</v>
      </c>
      <c r="J673" s="81">
        <v>6</v>
      </c>
      <c r="K673" s="81">
        <v>112</v>
      </c>
      <c r="L673" s="81" t="s">
        <v>663</v>
      </c>
    </row>
    <row r="674" spans="1:12" ht="15" customHeight="1">
      <c r="A674" s="112">
        <v>11207851</v>
      </c>
      <c r="B674" s="112" t="s">
        <v>1819</v>
      </c>
      <c r="C674" s="81" t="s">
        <v>655</v>
      </c>
      <c r="D674" s="81">
        <v>1100</v>
      </c>
      <c r="E674" s="81" t="s">
        <v>264</v>
      </c>
      <c r="F674" s="81">
        <v>7851</v>
      </c>
      <c r="G674" s="81" t="s">
        <v>282</v>
      </c>
      <c r="H674" s="81">
        <v>7950</v>
      </c>
      <c r="I674" s="81" t="s">
        <v>653</v>
      </c>
      <c r="J674" s="81">
        <v>6</v>
      </c>
      <c r="K674" s="81">
        <v>112</v>
      </c>
      <c r="L674" s="81" t="s">
        <v>663</v>
      </c>
    </row>
    <row r="675" spans="1:12" ht="15" customHeight="1">
      <c r="A675" s="112">
        <v>11207951</v>
      </c>
      <c r="B675" s="112" t="s">
        <v>1820</v>
      </c>
      <c r="C675" s="81" t="s">
        <v>655</v>
      </c>
      <c r="D675" s="81">
        <v>1100</v>
      </c>
      <c r="E675" s="81" t="s">
        <v>264</v>
      </c>
      <c r="F675" s="81">
        <v>7951</v>
      </c>
      <c r="G675" s="81" t="s">
        <v>282</v>
      </c>
      <c r="H675" s="81">
        <v>8050</v>
      </c>
      <c r="I675" s="81" t="s">
        <v>654</v>
      </c>
      <c r="J675" s="81">
        <v>6</v>
      </c>
      <c r="K675" s="81">
        <v>112</v>
      </c>
      <c r="L675" s="81" t="s">
        <v>663</v>
      </c>
    </row>
    <row r="676" spans="1:12" ht="15" customHeight="1">
      <c r="A676" s="112">
        <v>11300000</v>
      </c>
      <c r="B676" s="112" t="s">
        <v>1821</v>
      </c>
      <c r="C676" s="81" t="s">
        <v>664</v>
      </c>
      <c r="D676" s="81">
        <v>800</v>
      </c>
      <c r="E676" s="81" t="s">
        <v>596</v>
      </c>
      <c r="F676" s="81">
        <v>0</v>
      </c>
      <c r="G676" s="81" t="s">
        <v>282</v>
      </c>
      <c r="H676" s="81">
        <v>2640</v>
      </c>
      <c r="I676" s="81" t="s">
        <v>597</v>
      </c>
      <c r="J676" s="81">
        <v>0</v>
      </c>
      <c r="K676" s="81">
        <v>113</v>
      </c>
      <c r="L676" s="81" t="s">
        <v>663</v>
      </c>
    </row>
    <row r="677" spans="1:12" ht="15" customHeight="1">
      <c r="A677" s="112">
        <v>11302641</v>
      </c>
      <c r="B677" s="112" t="s">
        <v>1822</v>
      </c>
      <c r="C677" s="81" t="s">
        <v>664</v>
      </c>
      <c r="D677" s="81">
        <v>800</v>
      </c>
      <c r="E677" s="81" t="s">
        <v>596</v>
      </c>
      <c r="F677" s="81">
        <v>2641</v>
      </c>
      <c r="G677" s="81" t="s">
        <v>282</v>
      </c>
      <c r="H677" s="81">
        <v>2715</v>
      </c>
      <c r="I677" s="81" t="s">
        <v>599</v>
      </c>
      <c r="J677" s="81">
        <v>0</v>
      </c>
      <c r="K677" s="81">
        <v>113</v>
      </c>
      <c r="L677" s="81" t="s">
        <v>663</v>
      </c>
    </row>
    <row r="678" spans="1:12" ht="15" customHeight="1">
      <c r="A678" s="112">
        <v>11302716</v>
      </c>
      <c r="B678" s="112" t="s">
        <v>1823</v>
      </c>
      <c r="C678" s="81" t="s">
        <v>664</v>
      </c>
      <c r="D678" s="81">
        <v>800</v>
      </c>
      <c r="E678" s="81" t="s">
        <v>596</v>
      </c>
      <c r="F678" s="81">
        <v>2716</v>
      </c>
      <c r="G678" s="81" t="s">
        <v>282</v>
      </c>
      <c r="H678" s="81">
        <v>2765</v>
      </c>
      <c r="I678" s="81" t="s">
        <v>600</v>
      </c>
      <c r="J678" s="81">
        <v>0</v>
      </c>
      <c r="K678" s="81">
        <v>113</v>
      </c>
      <c r="L678" s="81" t="s">
        <v>663</v>
      </c>
    </row>
    <row r="679" spans="1:12" ht="15" customHeight="1">
      <c r="A679" s="112">
        <v>11302766</v>
      </c>
      <c r="B679" s="112" t="s">
        <v>1824</v>
      </c>
      <c r="C679" s="81" t="s">
        <v>664</v>
      </c>
      <c r="D679" s="81">
        <v>800</v>
      </c>
      <c r="E679" s="81" t="s">
        <v>596</v>
      </c>
      <c r="F679" s="81">
        <v>2766</v>
      </c>
      <c r="G679" s="81" t="s">
        <v>282</v>
      </c>
      <c r="H679" s="81">
        <v>2865</v>
      </c>
      <c r="I679" s="81" t="s">
        <v>602</v>
      </c>
      <c r="J679" s="81">
        <v>0</v>
      </c>
      <c r="K679" s="81">
        <v>113</v>
      </c>
      <c r="L679" s="81" t="s">
        <v>663</v>
      </c>
    </row>
    <row r="680" spans="1:12" ht="15" customHeight="1">
      <c r="A680" s="112">
        <v>11302866</v>
      </c>
      <c r="B680" s="112" t="s">
        <v>1825</v>
      </c>
      <c r="C680" s="81" t="s">
        <v>664</v>
      </c>
      <c r="D680" s="81">
        <v>800</v>
      </c>
      <c r="E680" s="81" t="s">
        <v>596</v>
      </c>
      <c r="F680" s="81">
        <v>2866</v>
      </c>
      <c r="G680" s="81" t="s">
        <v>282</v>
      </c>
      <c r="H680" s="81">
        <v>2965</v>
      </c>
      <c r="I680" s="81" t="s">
        <v>603</v>
      </c>
      <c r="J680" s="81">
        <v>0</v>
      </c>
      <c r="K680" s="81">
        <v>113</v>
      </c>
      <c r="L680" s="81" t="s">
        <v>663</v>
      </c>
    </row>
    <row r="681" spans="1:12" ht="15" customHeight="1">
      <c r="A681" s="112">
        <v>11302966</v>
      </c>
      <c r="B681" s="112" t="s">
        <v>1826</v>
      </c>
      <c r="C681" s="81" t="s">
        <v>664</v>
      </c>
      <c r="D681" s="81">
        <v>800</v>
      </c>
      <c r="E681" s="81" t="s">
        <v>596</v>
      </c>
      <c r="F681" s="81">
        <v>2966</v>
      </c>
      <c r="G681" s="81" t="s">
        <v>282</v>
      </c>
      <c r="H681" s="81">
        <v>3065</v>
      </c>
      <c r="I681" s="81" t="s">
        <v>604</v>
      </c>
      <c r="J681" s="81">
        <v>0</v>
      </c>
      <c r="K681" s="81">
        <v>113</v>
      </c>
      <c r="L681" s="81" t="s">
        <v>663</v>
      </c>
    </row>
    <row r="682" spans="1:12" ht="15" customHeight="1">
      <c r="A682" s="112">
        <v>11303066</v>
      </c>
      <c r="B682" s="112" t="s">
        <v>1827</v>
      </c>
      <c r="C682" s="81" t="s">
        <v>664</v>
      </c>
      <c r="D682" s="81">
        <v>800</v>
      </c>
      <c r="E682" s="81" t="s">
        <v>596</v>
      </c>
      <c r="F682" s="81">
        <v>3066</v>
      </c>
      <c r="G682" s="81" t="s">
        <v>282</v>
      </c>
      <c r="H682" s="81">
        <v>3165</v>
      </c>
      <c r="I682" s="81" t="s">
        <v>605</v>
      </c>
      <c r="J682" s="81">
        <v>0</v>
      </c>
      <c r="K682" s="81">
        <v>113</v>
      </c>
      <c r="L682" s="81" t="s">
        <v>663</v>
      </c>
    </row>
    <row r="683" spans="1:12" ht="15" customHeight="1">
      <c r="A683" s="112">
        <v>11303166</v>
      </c>
      <c r="B683" s="112" t="s">
        <v>1828</v>
      </c>
      <c r="C683" s="81" t="s">
        <v>664</v>
      </c>
      <c r="D683" s="81">
        <v>800</v>
      </c>
      <c r="E683" s="81" t="s">
        <v>596</v>
      </c>
      <c r="F683" s="81">
        <v>3166</v>
      </c>
      <c r="G683" s="81" t="s">
        <v>282</v>
      </c>
      <c r="H683" s="81">
        <v>3265</v>
      </c>
      <c r="I683" s="81" t="s">
        <v>606</v>
      </c>
      <c r="J683" s="81">
        <v>0</v>
      </c>
      <c r="K683" s="81">
        <v>113</v>
      </c>
      <c r="L683" s="81" t="s">
        <v>663</v>
      </c>
    </row>
    <row r="684" spans="1:12" ht="15" customHeight="1">
      <c r="A684" s="112">
        <v>11303266</v>
      </c>
      <c r="B684" s="112" t="s">
        <v>1829</v>
      </c>
      <c r="C684" s="81" t="s">
        <v>664</v>
      </c>
      <c r="D684" s="81">
        <v>800</v>
      </c>
      <c r="E684" s="81" t="s">
        <v>596</v>
      </c>
      <c r="F684" s="81">
        <v>3266</v>
      </c>
      <c r="G684" s="81" t="s">
        <v>282</v>
      </c>
      <c r="H684" s="81">
        <v>3365</v>
      </c>
      <c r="I684" s="81" t="s">
        <v>607</v>
      </c>
      <c r="J684" s="81">
        <v>0</v>
      </c>
      <c r="K684" s="81">
        <v>113</v>
      </c>
      <c r="L684" s="81" t="s">
        <v>663</v>
      </c>
    </row>
    <row r="685" spans="1:12" ht="15" customHeight="1">
      <c r="A685" s="112">
        <v>11303366</v>
      </c>
      <c r="B685" s="112" t="s">
        <v>1830</v>
      </c>
      <c r="C685" s="81" t="s">
        <v>664</v>
      </c>
      <c r="D685" s="81">
        <v>800</v>
      </c>
      <c r="E685" s="81" t="s">
        <v>596</v>
      </c>
      <c r="F685" s="81">
        <v>3366</v>
      </c>
      <c r="G685" s="81" t="s">
        <v>282</v>
      </c>
      <c r="H685" s="81">
        <v>3465</v>
      </c>
      <c r="I685" s="81" t="s">
        <v>608</v>
      </c>
      <c r="J685" s="81">
        <v>0</v>
      </c>
      <c r="K685" s="81">
        <v>113</v>
      </c>
      <c r="L685" s="81" t="s">
        <v>663</v>
      </c>
    </row>
    <row r="686" spans="1:12" ht="15" customHeight="1">
      <c r="A686" s="112">
        <v>11303466</v>
      </c>
      <c r="B686" s="112" t="s">
        <v>1831</v>
      </c>
      <c r="C686" s="81" t="s">
        <v>664</v>
      </c>
      <c r="D686" s="81">
        <v>800</v>
      </c>
      <c r="E686" s="81" t="s">
        <v>596</v>
      </c>
      <c r="F686" s="81">
        <v>3466</v>
      </c>
      <c r="G686" s="81" t="s">
        <v>282</v>
      </c>
      <c r="H686" s="81">
        <v>3565</v>
      </c>
      <c r="I686" s="81" t="s">
        <v>609</v>
      </c>
      <c r="J686" s="81">
        <v>0</v>
      </c>
      <c r="K686" s="81">
        <v>113</v>
      </c>
      <c r="L686" s="81" t="s">
        <v>663</v>
      </c>
    </row>
    <row r="687" spans="1:12" ht="15" customHeight="1">
      <c r="A687" s="112">
        <v>11303566</v>
      </c>
      <c r="B687" s="112" t="s">
        <v>1832</v>
      </c>
      <c r="C687" s="81" t="s">
        <v>664</v>
      </c>
      <c r="D687" s="81">
        <v>800</v>
      </c>
      <c r="E687" s="81" t="s">
        <v>596</v>
      </c>
      <c r="F687" s="81">
        <v>3566</v>
      </c>
      <c r="G687" s="81" t="s">
        <v>282</v>
      </c>
      <c r="H687" s="81">
        <v>3665</v>
      </c>
      <c r="I687" s="81" t="s">
        <v>610</v>
      </c>
      <c r="J687" s="81">
        <v>0</v>
      </c>
      <c r="K687" s="81">
        <v>113</v>
      </c>
      <c r="L687" s="81" t="s">
        <v>663</v>
      </c>
    </row>
    <row r="688" spans="1:12" ht="15" customHeight="1">
      <c r="A688" s="112">
        <v>11303666</v>
      </c>
      <c r="B688" s="112" t="s">
        <v>1833</v>
      </c>
      <c r="C688" s="81" t="s">
        <v>664</v>
      </c>
      <c r="D688" s="81">
        <v>800</v>
      </c>
      <c r="E688" s="81" t="s">
        <v>596</v>
      </c>
      <c r="F688" s="81">
        <v>3666</v>
      </c>
      <c r="G688" s="81" t="s">
        <v>282</v>
      </c>
      <c r="H688" s="81">
        <v>3765</v>
      </c>
      <c r="I688" s="81" t="s">
        <v>611</v>
      </c>
      <c r="J688" s="81">
        <v>1</v>
      </c>
      <c r="K688" s="81">
        <v>113</v>
      </c>
      <c r="L688" s="81" t="s">
        <v>663</v>
      </c>
    </row>
    <row r="689" spans="1:12" ht="15" customHeight="1">
      <c r="A689" s="112">
        <v>11303766</v>
      </c>
      <c r="B689" s="112" t="s">
        <v>1834</v>
      </c>
      <c r="C689" s="81" t="s">
        <v>664</v>
      </c>
      <c r="D689" s="81">
        <v>800</v>
      </c>
      <c r="E689" s="81" t="s">
        <v>596</v>
      </c>
      <c r="F689" s="81">
        <v>3766</v>
      </c>
      <c r="G689" s="81" t="s">
        <v>282</v>
      </c>
      <c r="H689" s="81">
        <v>3865</v>
      </c>
      <c r="I689" s="81" t="s">
        <v>612</v>
      </c>
      <c r="J689" s="81">
        <v>1</v>
      </c>
      <c r="K689" s="81">
        <v>113</v>
      </c>
      <c r="L689" s="81" t="s">
        <v>663</v>
      </c>
    </row>
    <row r="690" spans="1:12" ht="15" customHeight="1">
      <c r="A690" s="112">
        <v>11303866</v>
      </c>
      <c r="B690" s="112" t="s">
        <v>1835</v>
      </c>
      <c r="C690" s="81" t="s">
        <v>664</v>
      </c>
      <c r="D690" s="81">
        <v>800</v>
      </c>
      <c r="E690" s="81" t="s">
        <v>596</v>
      </c>
      <c r="F690" s="81">
        <v>3866</v>
      </c>
      <c r="G690" s="81" t="s">
        <v>282</v>
      </c>
      <c r="H690" s="81">
        <v>3965</v>
      </c>
      <c r="I690" s="81" t="s">
        <v>613</v>
      </c>
      <c r="J690" s="81">
        <v>1</v>
      </c>
      <c r="K690" s="81">
        <v>113</v>
      </c>
      <c r="L690" s="81" t="s">
        <v>663</v>
      </c>
    </row>
    <row r="691" spans="1:12" ht="15" customHeight="1">
      <c r="A691" s="112">
        <v>11303966</v>
      </c>
      <c r="B691" s="112" t="s">
        <v>1836</v>
      </c>
      <c r="C691" s="81" t="s">
        <v>664</v>
      </c>
      <c r="D691" s="81">
        <v>800</v>
      </c>
      <c r="E691" s="81" t="s">
        <v>596</v>
      </c>
      <c r="F691" s="81">
        <v>3966</v>
      </c>
      <c r="G691" s="81" t="s">
        <v>282</v>
      </c>
      <c r="H691" s="81">
        <v>4065</v>
      </c>
      <c r="I691" s="81" t="s">
        <v>614</v>
      </c>
      <c r="J691" s="81">
        <v>1</v>
      </c>
      <c r="K691" s="81">
        <v>113</v>
      </c>
      <c r="L691" s="81" t="s">
        <v>663</v>
      </c>
    </row>
    <row r="692" spans="1:12" ht="15" customHeight="1">
      <c r="A692" s="112">
        <v>11304066</v>
      </c>
      <c r="B692" s="112" t="s">
        <v>1837</v>
      </c>
      <c r="C692" s="81" t="s">
        <v>664</v>
      </c>
      <c r="D692" s="81">
        <v>800</v>
      </c>
      <c r="E692" s="81" t="s">
        <v>596</v>
      </c>
      <c r="F692" s="81">
        <v>4066</v>
      </c>
      <c r="G692" s="81" t="s">
        <v>282</v>
      </c>
      <c r="H692" s="81">
        <v>4165</v>
      </c>
      <c r="I692" s="81" t="s">
        <v>615</v>
      </c>
      <c r="J692" s="81">
        <v>1</v>
      </c>
      <c r="K692" s="81">
        <v>113</v>
      </c>
      <c r="L692" s="81" t="s">
        <v>663</v>
      </c>
    </row>
    <row r="693" spans="1:12" ht="15" customHeight="1">
      <c r="A693" s="112">
        <v>11304166</v>
      </c>
      <c r="B693" s="112" t="s">
        <v>1838</v>
      </c>
      <c r="C693" s="81" t="s">
        <v>664</v>
      </c>
      <c r="D693" s="81">
        <v>800</v>
      </c>
      <c r="E693" s="81" t="s">
        <v>596</v>
      </c>
      <c r="F693" s="81">
        <v>4166</v>
      </c>
      <c r="G693" s="81" t="s">
        <v>282</v>
      </c>
      <c r="H693" s="81">
        <v>4265</v>
      </c>
      <c r="I693" s="81" t="s">
        <v>616</v>
      </c>
      <c r="J693" s="81">
        <v>1</v>
      </c>
      <c r="K693" s="81">
        <v>113</v>
      </c>
      <c r="L693" s="81" t="s">
        <v>663</v>
      </c>
    </row>
    <row r="694" spans="1:12" ht="15" customHeight="1">
      <c r="A694" s="112">
        <v>11304266</v>
      </c>
      <c r="B694" s="112" t="s">
        <v>1839</v>
      </c>
      <c r="C694" s="81" t="s">
        <v>664</v>
      </c>
      <c r="D694" s="81">
        <v>800</v>
      </c>
      <c r="E694" s="81" t="s">
        <v>596</v>
      </c>
      <c r="F694" s="81">
        <v>4266</v>
      </c>
      <c r="G694" s="81" t="s">
        <v>282</v>
      </c>
      <c r="H694" s="81">
        <v>4365</v>
      </c>
      <c r="I694" s="81" t="s">
        <v>617</v>
      </c>
      <c r="J694" s="81">
        <v>1</v>
      </c>
      <c r="K694" s="81">
        <v>113</v>
      </c>
      <c r="L694" s="81" t="s">
        <v>663</v>
      </c>
    </row>
    <row r="695" spans="1:12" ht="15" customHeight="1">
      <c r="A695" s="112">
        <v>11304366</v>
      </c>
      <c r="B695" s="112" t="s">
        <v>1840</v>
      </c>
      <c r="C695" s="81" t="s">
        <v>664</v>
      </c>
      <c r="D695" s="81">
        <v>800</v>
      </c>
      <c r="E695" s="81" t="s">
        <v>596</v>
      </c>
      <c r="F695" s="81">
        <v>4366</v>
      </c>
      <c r="G695" s="81" t="s">
        <v>282</v>
      </c>
      <c r="H695" s="81">
        <v>4465</v>
      </c>
      <c r="I695" s="81" t="s">
        <v>618</v>
      </c>
      <c r="J695" s="81">
        <v>1</v>
      </c>
      <c r="K695" s="81">
        <v>113</v>
      </c>
      <c r="L695" s="81" t="s">
        <v>663</v>
      </c>
    </row>
    <row r="696" spans="1:12" ht="15" customHeight="1">
      <c r="A696" s="112">
        <v>11304466</v>
      </c>
      <c r="B696" s="112" t="s">
        <v>1841</v>
      </c>
      <c r="C696" s="81" t="s">
        <v>664</v>
      </c>
      <c r="D696" s="81">
        <v>800</v>
      </c>
      <c r="E696" s="81" t="s">
        <v>596</v>
      </c>
      <c r="F696" s="81">
        <v>4466</v>
      </c>
      <c r="G696" s="81" t="s">
        <v>282</v>
      </c>
      <c r="H696" s="81">
        <v>4565</v>
      </c>
      <c r="I696" s="81" t="s">
        <v>619</v>
      </c>
      <c r="J696" s="81">
        <v>2</v>
      </c>
      <c r="K696" s="81">
        <v>113</v>
      </c>
      <c r="L696" s="81" t="s">
        <v>663</v>
      </c>
    </row>
    <row r="697" spans="1:12" ht="15" customHeight="1">
      <c r="A697" s="112">
        <v>11304566</v>
      </c>
      <c r="B697" s="112" t="s">
        <v>1842</v>
      </c>
      <c r="C697" s="81" t="s">
        <v>664</v>
      </c>
      <c r="D697" s="81">
        <v>800</v>
      </c>
      <c r="E697" s="81" t="s">
        <v>596</v>
      </c>
      <c r="F697" s="81">
        <v>4566</v>
      </c>
      <c r="G697" s="81" t="s">
        <v>282</v>
      </c>
      <c r="H697" s="81">
        <v>4665</v>
      </c>
      <c r="I697" s="81" t="s">
        <v>620</v>
      </c>
      <c r="J697" s="81">
        <v>2</v>
      </c>
      <c r="K697" s="81">
        <v>113</v>
      </c>
      <c r="L697" s="81" t="s">
        <v>663</v>
      </c>
    </row>
    <row r="698" spans="1:12" ht="15" customHeight="1">
      <c r="A698" s="112">
        <v>11304666</v>
      </c>
      <c r="B698" s="112" t="s">
        <v>1843</v>
      </c>
      <c r="C698" s="81" t="s">
        <v>664</v>
      </c>
      <c r="D698" s="81">
        <v>800</v>
      </c>
      <c r="E698" s="81" t="s">
        <v>596</v>
      </c>
      <c r="F698" s="81">
        <v>4666</v>
      </c>
      <c r="G698" s="81" t="s">
        <v>282</v>
      </c>
      <c r="H698" s="81">
        <v>4765</v>
      </c>
      <c r="I698" s="81" t="s">
        <v>621</v>
      </c>
      <c r="J698" s="81">
        <v>2</v>
      </c>
      <c r="K698" s="81">
        <v>113</v>
      </c>
      <c r="L698" s="81" t="s">
        <v>663</v>
      </c>
    </row>
    <row r="699" spans="1:12" ht="15" customHeight="1">
      <c r="A699" s="112">
        <v>11304766</v>
      </c>
      <c r="B699" s="112" t="s">
        <v>1844</v>
      </c>
      <c r="C699" s="81" t="s">
        <v>664</v>
      </c>
      <c r="D699" s="81">
        <v>800</v>
      </c>
      <c r="E699" s="81" t="s">
        <v>596</v>
      </c>
      <c r="F699" s="81">
        <v>4766</v>
      </c>
      <c r="G699" s="81" t="s">
        <v>282</v>
      </c>
      <c r="H699" s="81">
        <v>4865</v>
      </c>
      <c r="I699" s="81" t="s">
        <v>622</v>
      </c>
      <c r="J699" s="81">
        <v>2</v>
      </c>
      <c r="K699" s="81">
        <v>113</v>
      </c>
      <c r="L699" s="81" t="s">
        <v>663</v>
      </c>
    </row>
    <row r="700" spans="1:12" ht="15" customHeight="1">
      <c r="A700" s="112">
        <v>11304866</v>
      </c>
      <c r="B700" s="112" t="s">
        <v>1845</v>
      </c>
      <c r="C700" s="81" t="s">
        <v>664</v>
      </c>
      <c r="D700" s="81">
        <v>800</v>
      </c>
      <c r="E700" s="81" t="s">
        <v>596</v>
      </c>
      <c r="F700" s="81">
        <v>4866</v>
      </c>
      <c r="G700" s="81" t="s">
        <v>282</v>
      </c>
      <c r="H700" s="81">
        <v>4965</v>
      </c>
      <c r="I700" s="81" t="s">
        <v>623</v>
      </c>
      <c r="J700" s="81">
        <v>2</v>
      </c>
      <c r="K700" s="81">
        <v>113</v>
      </c>
      <c r="L700" s="81" t="s">
        <v>663</v>
      </c>
    </row>
    <row r="701" spans="1:12" ht="15" customHeight="1">
      <c r="A701" s="112">
        <v>11304966</v>
      </c>
      <c r="B701" s="112" t="s">
        <v>1846</v>
      </c>
      <c r="C701" s="81" t="s">
        <v>664</v>
      </c>
      <c r="D701" s="81">
        <v>800</v>
      </c>
      <c r="E701" s="81" t="s">
        <v>596</v>
      </c>
      <c r="F701" s="81">
        <v>4966</v>
      </c>
      <c r="G701" s="81" t="s">
        <v>282</v>
      </c>
      <c r="H701" s="81">
        <v>5065</v>
      </c>
      <c r="I701" s="81" t="s">
        <v>624</v>
      </c>
      <c r="J701" s="81">
        <v>2</v>
      </c>
      <c r="K701" s="81">
        <v>113</v>
      </c>
      <c r="L701" s="81" t="s">
        <v>663</v>
      </c>
    </row>
    <row r="702" spans="1:12" ht="15" customHeight="1">
      <c r="A702" s="112">
        <v>11305066</v>
      </c>
      <c r="B702" s="112" t="s">
        <v>1847</v>
      </c>
      <c r="C702" s="81" t="s">
        <v>664</v>
      </c>
      <c r="D702" s="81">
        <v>800</v>
      </c>
      <c r="E702" s="81" t="s">
        <v>596</v>
      </c>
      <c r="F702" s="81">
        <v>5066</v>
      </c>
      <c r="G702" s="81" t="s">
        <v>282</v>
      </c>
      <c r="H702" s="81">
        <v>5165</v>
      </c>
      <c r="I702" s="81" t="s">
        <v>625</v>
      </c>
      <c r="J702" s="81">
        <v>2</v>
      </c>
      <c r="K702" s="81">
        <v>113</v>
      </c>
      <c r="L702" s="81" t="s">
        <v>663</v>
      </c>
    </row>
    <row r="703" spans="1:12" ht="15" customHeight="1">
      <c r="A703" s="112">
        <v>11305166</v>
      </c>
      <c r="B703" s="112" t="s">
        <v>1848</v>
      </c>
      <c r="C703" s="81" t="s">
        <v>664</v>
      </c>
      <c r="D703" s="81">
        <v>800</v>
      </c>
      <c r="E703" s="81" t="s">
        <v>596</v>
      </c>
      <c r="F703" s="81">
        <v>5166</v>
      </c>
      <c r="G703" s="81" t="s">
        <v>282</v>
      </c>
      <c r="H703" s="81">
        <v>5265</v>
      </c>
      <c r="I703" s="81" t="s">
        <v>626</v>
      </c>
      <c r="J703" s="81">
        <v>2</v>
      </c>
      <c r="K703" s="81">
        <v>113</v>
      </c>
      <c r="L703" s="81" t="s">
        <v>663</v>
      </c>
    </row>
    <row r="704" spans="1:12" ht="15" customHeight="1">
      <c r="A704" s="112">
        <v>11305266</v>
      </c>
      <c r="B704" s="112" t="s">
        <v>1849</v>
      </c>
      <c r="C704" s="81" t="s">
        <v>664</v>
      </c>
      <c r="D704" s="81">
        <v>800</v>
      </c>
      <c r="E704" s="81" t="s">
        <v>596</v>
      </c>
      <c r="F704" s="81">
        <v>5266</v>
      </c>
      <c r="G704" s="81" t="s">
        <v>282</v>
      </c>
      <c r="H704" s="81">
        <v>5365</v>
      </c>
      <c r="I704" s="81" t="s">
        <v>627</v>
      </c>
      <c r="J704" s="81">
        <v>3</v>
      </c>
      <c r="K704" s="81">
        <v>113</v>
      </c>
      <c r="L704" s="81" t="s">
        <v>663</v>
      </c>
    </row>
    <row r="705" spans="1:12" ht="15" customHeight="1">
      <c r="A705" s="112">
        <v>11305366</v>
      </c>
      <c r="B705" s="112" t="s">
        <v>1850</v>
      </c>
      <c r="C705" s="81" t="s">
        <v>664</v>
      </c>
      <c r="D705" s="81">
        <v>800</v>
      </c>
      <c r="E705" s="81" t="s">
        <v>596</v>
      </c>
      <c r="F705" s="81">
        <v>5366</v>
      </c>
      <c r="G705" s="81" t="s">
        <v>282</v>
      </c>
      <c r="H705" s="81">
        <v>5465</v>
      </c>
      <c r="I705" s="81" t="s">
        <v>628</v>
      </c>
      <c r="J705" s="81">
        <v>3</v>
      </c>
      <c r="K705" s="81">
        <v>113</v>
      </c>
      <c r="L705" s="81" t="s">
        <v>663</v>
      </c>
    </row>
    <row r="706" spans="1:12" ht="15" customHeight="1">
      <c r="A706" s="112">
        <v>11305466</v>
      </c>
      <c r="B706" s="112" t="s">
        <v>1851</v>
      </c>
      <c r="C706" s="81" t="s">
        <v>664</v>
      </c>
      <c r="D706" s="81">
        <v>800</v>
      </c>
      <c r="E706" s="81" t="s">
        <v>596</v>
      </c>
      <c r="F706" s="81">
        <v>5466</v>
      </c>
      <c r="G706" s="81" t="s">
        <v>282</v>
      </c>
      <c r="H706" s="81">
        <v>5565</v>
      </c>
      <c r="I706" s="81" t="s">
        <v>629</v>
      </c>
      <c r="J706" s="81">
        <v>3</v>
      </c>
      <c r="K706" s="81">
        <v>113</v>
      </c>
      <c r="L706" s="81" t="s">
        <v>663</v>
      </c>
    </row>
    <row r="707" spans="1:12" ht="15" customHeight="1">
      <c r="A707" s="112">
        <v>11305566</v>
      </c>
      <c r="B707" s="112" t="s">
        <v>1852</v>
      </c>
      <c r="C707" s="81" t="s">
        <v>664</v>
      </c>
      <c r="D707" s="81">
        <v>800</v>
      </c>
      <c r="E707" s="81" t="s">
        <v>596</v>
      </c>
      <c r="F707" s="81">
        <v>5566</v>
      </c>
      <c r="G707" s="81" t="s">
        <v>282</v>
      </c>
      <c r="H707" s="81">
        <v>5665</v>
      </c>
      <c r="I707" s="81" t="s">
        <v>630</v>
      </c>
      <c r="J707" s="81">
        <v>3</v>
      </c>
      <c r="K707" s="81">
        <v>113</v>
      </c>
      <c r="L707" s="81" t="s">
        <v>663</v>
      </c>
    </row>
    <row r="708" spans="1:12" ht="15" customHeight="1">
      <c r="A708" s="112">
        <v>11305666</v>
      </c>
      <c r="B708" s="112" t="s">
        <v>1853</v>
      </c>
      <c r="C708" s="81" t="s">
        <v>664</v>
      </c>
      <c r="D708" s="81">
        <v>800</v>
      </c>
      <c r="E708" s="81" t="s">
        <v>596</v>
      </c>
      <c r="F708" s="81">
        <v>5666</v>
      </c>
      <c r="G708" s="81" t="s">
        <v>282</v>
      </c>
      <c r="H708" s="81">
        <v>5765</v>
      </c>
      <c r="I708" s="81" t="s">
        <v>631</v>
      </c>
      <c r="J708" s="81">
        <v>3</v>
      </c>
      <c r="K708" s="81">
        <v>113</v>
      </c>
      <c r="L708" s="81" t="s">
        <v>663</v>
      </c>
    </row>
    <row r="709" spans="1:12" ht="15" customHeight="1">
      <c r="A709" s="112">
        <v>11305766</v>
      </c>
      <c r="B709" s="112" t="s">
        <v>1854</v>
      </c>
      <c r="C709" s="81" t="s">
        <v>664</v>
      </c>
      <c r="D709" s="81">
        <v>800</v>
      </c>
      <c r="E709" s="81" t="s">
        <v>596</v>
      </c>
      <c r="F709" s="81">
        <v>5766</v>
      </c>
      <c r="G709" s="81" t="s">
        <v>282</v>
      </c>
      <c r="H709" s="81">
        <v>5865</v>
      </c>
      <c r="I709" s="81" t="s">
        <v>632</v>
      </c>
      <c r="J709" s="81">
        <v>3</v>
      </c>
      <c r="K709" s="81">
        <v>113</v>
      </c>
      <c r="L709" s="81" t="s">
        <v>663</v>
      </c>
    </row>
    <row r="710" spans="1:12" ht="15" customHeight="1">
      <c r="A710" s="112">
        <v>11305866</v>
      </c>
      <c r="B710" s="112" t="s">
        <v>1855</v>
      </c>
      <c r="C710" s="81" t="s">
        <v>664</v>
      </c>
      <c r="D710" s="81">
        <v>800</v>
      </c>
      <c r="E710" s="81" t="s">
        <v>596</v>
      </c>
      <c r="F710" s="81">
        <v>5866</v>
      </c>
      <c r="G710" s="81" t="s">
        <v>282</v>
      </c>
      <c r="H710" s="81">
        <v>5965</v>
      </c>
      <c r="I710" s="81" t="s">
        <v>633</v>
      </c>
      <c r="J710" s="81">
        <v>3</v>
      </c>
      <c r="K710" s="81">
        <v>113</v>
      </c>
      <c r="L710" s="81" t="s">
        <v>663</v>
      </c>
    </row>
    <row r="711" spans="1:12" ht="15" customHeight="1">
      <c r="A711" s="112">
        <v>11305966</v>
      </c>
      <c r="B711" s="112" t="s">
        <v>1856</v>
      </c>
      <c r="C711" s="81" t="s">
        <v>664</v>
      </c>
      <c r="D711" s="81">
        <v>800</v>
      </c>
      <c r="E711" s="81" t="s">
        <v>596</v>
      </c>
      <c r="F711" s="81">
        <v>5966</v>
      </c>
      <c r="G711" s="81" t="s">
        <v>282</v>
      </c>
      <c r="H711" s="81">
        <v>6065</v>
      </c>
      <c r="I711" s="81" t="s">
        <v>634</v>
      </c>
      <c r="J711" s="81">
        <v>3</v>
      </c>
      <c r="K711" s="81">
        <v>113</v>
      </c>
      <c r="L711" s="81" t="s">
        <v>663</v>
      </c>
    </row>
    <row r="712" spans="1:12" ht="15" customHeight="1">
      <c r="A712" s="112">
        <v>11306066</v>
      </c>
      <c r="B712" s="112" t="s">
        <v>1857</v>
      </c>
      <c r="C712" s="81" t="s">
        <v>664</v>
      </c>
      <c r="D712" s="81">
        <v>800</v>
      </c>
      <c r="E712" s="81" t="s">
        <v>596</v>
      </c>
      <c r="F712" s="81">
        <v>6066</v>
      </c>
      <c r="G712" s="81" t="s">
        <v>282</v>
      </c>
      <c r="H712" s="81">
        <v>6165</v>
      </c>
      <c r="I712" s="81" t="s">
        <v>635</v>
      </c>
      <c r="J712" s="81">
        <v>4</v>
      </c>
      <c r="K712" s="81">
        <v>113</v>
      </c>
      <c r="L712" s="81" t="s">
        <v>663</v>
      </c>
    </row>
    <row r="713" spans="1:12" ht="15" customHeight="1">
      <c r="A713" s="112">
        <v>11306166</v>
      </c>
      <c r="B713" s="112" t="s">
        <v>1858</v>
      </c>
      <c r="C713" s="81" t="s">
        <v>664</v>
      </c>
      <c r="D713" s="81">
        <v>800</v>
      </c>
      <c r="E713" s="81" t="s">
        <v>596</v>
      </c>
      <c r="F713" s="81">
        <v>6166</v>
      </c>
      <c r="G713" s="81" t="s">
        <v>282</v>
      </c>
      <c r="H713" s="81">
        <v>6265</v>
      </c>
      <c r="I713" s="81" t="s">
        <v>636</v>
      </c>
      <c r="J713" s="81">
        <v>4</v>
      </c>
      <c r="K713" s="81">
        <v>113</v>
      </c>
      <c r="L713" s="81" t="s">
        <v>663</v>
      </c>
    </row>
    <row r="714" spans="1:12" ht="15" customHeight="1">
      <c r="A714" s="112">
        <v>11306266</v>
      </c>
      <c r="B714" s="112" t="s">
        <v>1859</v>
      </c>
      <c r="C714" s="81" t="s">
        <v>664</v>
      </c>
      <c r="D714" s="81">
        <v>800</v>
      </c>
      <c r="E714" s="81" t="s">
        <v>596</v>
      </c>
      <c r="F714" s="81">
        <v>6266</v>
      </c>
      <c r="G714" s="81" t="s">
        <v>282</v>
      </c>
      <c r="H714" s="81">
        <v>6365</v>
      </c>
      <c r="I714" s="81" t="s">
        <v>637</v>
      </c>
      <c r="J714" s="81">
        <v>4</v>
      </c>
      <c r="K714" s="81">
        <v>113</v>
      </c>
      <c r="L714" s="81" t="s">
        <v>663</v>
      </c>
    </row>
    <row r="715" spans="1:12" ht="15" customHeight="1">
      <c r="A715" s="112">
        <v>11306366</v>
      </c>
      <c r="B715" s="112" t="s">
        <v>1860</v>
      </c>
      <c r="C715" s="81" t="s">
        <v>664</v>
      </c>
      <c r="D715" s="81">
        <v>800</v>
      </c>
      <c r="E715" s="81" t="s">
        <v>596</v>
      </c>
      <c r="F715" s="81">
        <v>6366</v>
      </c>
      <c r="G715" s="81" t="s">
        <v>282</v>
      </c>
      <c r="H715" s="81">
        <v>6465</v>
      </c>
      <c r="I715" s="81" t="s">
        <v>638</v>
      </c>
      <c r="J715" s="81">
        <v>4</v>
      </c>
      <c r="K715" s="81">
        <v>113</v>
      </c>
      <c r="L715" s="81" t="s">
        <v>663</v>
      </c>
    </row>
    <row r="716" spans="1:12" ht="15" customHeight="1">
      <c r="A716" s="112">
        <v>11306466</v>
      </c>
      <c r="B716" s="112" t="s">
        <v>1861</v>
      </c>
      <c r="C716" s="81" t="s">
        <v>664</v>
      </c>
      <c r="D716" s="81">
        <v>800</v>
      </c>
      <c r="E716" s="81" t="s">
        <v>596</v>
      </c>
      <c r="F716" s="81">
        <v>6466</v>
      </c>
      <c r="G716" s="81" t="s">
        <v>282</v>
      </c>
      <c r="H716" s="81">
        <v>6565</v>
      </c>
      <c r="I716" s="81" t="s">
        <v>639</v>
      </c>
      <c r="J716" s="81">
        <v>4</v>
      </c>
      <c r="K716" s="81">
        <v>113</v>
      </c>
      <c r="L716" s="81" t="s">
        <v>663</v>
      </c>
    </row>
    <row r="717" spans="1:12" ht="15" customHeight="1">
      <c r="A717" s="112">
        <v>11306566</v>
      </c>
      <c r="B717" s="112" t="s">
        <v>1862</v>
      </c>
      <c r="C717" s="81" t="s">
        <v>664</v>
      </c>
      <c r="D717" s="81">
        <v>800</v>
      </c>
      <c r="E717" s="81" t="s">
        <v>596</v>
      </c>
      <c r="F717" s="81">
        <v>6566</v>
      </c>
      <c r="G717" s="81" t="s">
        <v>282</v>
      </c>
      <c r="H717" s="81">
        <v>6665</v>
      </c>
      <c r="I717" s="81" t="s">
        <v>640</v>
      </c>
      <c r="J717" s="81">
        <v>4</v>
      </c>
      <c r="K717" s="81">
        <v>113</v>
      </c>
      <c r="L717" s="81" t="s">
        <v>663</v>
      </c>
    </row>
    <row r="718" spans="1:12" ht="15" customHeight="1">
      <c r="A718" s="112">
        <v>11306666</v>
      </c>
      <c r="B718" s="112" t="s">
        <v>1863</v>
      </c>
      <c r="C718" s="81" t="s">
        <v>664</v>
      </c>
      <c r="D718" s="81">
        <v>800</v>
      </c>
      <c r="E718" s="81" t="s">
        <v>596</v>
      </c>
      <c r="F718" s="81">
        <v>6666</v>
      </c>
      <c r="G718" s="81" t="s">
        <v>282</v>
      </c>
      <c r="H718" s="81">
        <v>6765</v>
      </c>
      <c r="I718" s="81" t="s">
        <v>641</v>
      </c>
      <c r="J718" s="81">
        <v>4</v>
      </c>
      <c r="K718" s="81">
        <v>113</v>
      </c>
      <c r="L718" s="81" t="s">
        <v>663</v>
      </c>
    </row>
    <row r="719" spans="1:12" ht="15" customHeight="1">
      <c r="A719" s="112">
        <v>11306766</v>
      </c>
      <c r="B719" s="112" t="s">
        <v>1864</v>
      </c>
      <c r="C719" s="81" t="s">
        <v>664</v>
      </c>
      <c r="D719" s="81">
        <v>800</v>
      </c>
      <c r="E719" s="81" t="s">
        <v>596</v>
      </c>
      <c r="F719" s="81">
        <v>6766</v>
      </c>
      <c r="G719" s="81" t="s">
        <v>282</v>
      </c>
      <c r="H719" s="81">
        <v>6865</v>
      </c>
      <c r="I719" s="81" t="s">
        <v>642</v>
      </c>
      <c r="J719" s="81">
        <v>4</v>
      </c>
      <c r="K719" s="81">
        <v>113</v>
      </c>
      <c r="L719" s="81" t="s">
        <v>663</v>
      </c>
    </row>
    <row r="720" spans="1:12" ht="15" customHeight="1">
      <c r="A720" s="112">
        <v>11306866</v>
      </c>
      <c r="B720" s="112" t="s">
        <v>1865</v>
      </c>
      <c r="C720" s="81" t="s">
        <v>664</v>
      </c>
      <c r="D720" s="81">
        <v>800</v>
      </c>
      <c r="E720" s="81" t="s">
        <v>596</v>
      </c>
      <c r="F720" s="81">
        <v>6866</v>
      </c>
      <c r="G720" s="81" t="s">
        <v>282</v>
      </c>
      <c r="H720" s="81">
        <v>6965</v>
      </c>
      <c r="I720" s="81" t="s">
        <v>643</v>
      </c>
      <c r="J720" s="81">
        <v>5</v>
      </c>
      <c r="K720" s="81">
        <v>113</v>
      </c>
      <c r="L720" s="81" t="s">
        <v>663</v>
      </c>
    </row>
    <row r="721" spans="1:12" ht="15" customHeight="1">
      <c r="A721" s="112">
        <v>11306966</v>
      </c>
      <c r="B721" s="112" t="s">
        <v>1866</v>
      </c>
      <c r="C721" s="81" t="s">
        <v>664</v>
      </c>
      <c r="D721" s="81">
        <v>800</v>
      </c>
      <c r="E721" s="81" t="s">
        <v>596</v>
      </c>
      <c r="F721" s="81">
        <v>6966</v>
      </c>
      <c r="G721" s="81" t="s">
        <v>282</v>
      </c>
      <c r="H721" s="81">
        <v>7065</v>
      </c>
      <c r="I721" s="81" t="s">
        <v>644</v>
      </c>
      <c r="J721" s="81">
        <v>5</v>
      </c>
      <c r="K721" s="81">
        <v>113</v>
      </c>
      <c r="L721" s="81" t="s">
        <v>663</v>
      </c>
    </row>
    <row r="722" spans="1:12" ht="15" customHeight="1">
      <c r="A722" s="112">
        <v>11307066</v>
      </c>
      <c r="B722" s="112" t="s">
        <v>1867</v>
      </c>
      <c r="C722" s="81" t="s">
        <v>664</v>
      </c>
      <c r="D722" s="81">
        <v>800</v>
      </c>
      <c r="E722" s="81" t="s">
        <v>596</v>
      </c>
      <c r="F722" s="81">
        <v>7066</v>
      </c>
      <c r="G722" s="81" t="s">
        <v>282</v>
      </c>
      <c r="H722" s="81">
        <v>7165</v>
      </c>
      <c r="I722" s="81" t="s">
        <v>645</v>
      </c>
      <c r="J722" s="81">
        <v>5</v>
      </c>
      <c r="K722" s="81">
        <v>113</v>
      </c>
      <c r="L722" s="81" t="s">
        <v>663</v>
      </c>
    </row>
    <row r="723" spans="1:12" ht="15" customHeight="1">
      <c r="A723" s="112">
        <v>11307166</v>
      </c>
      <c r="B723" s="112" t="s">
        <v>1868</v>
      </c>
      <c r="C723" s="81" t="s">
        <v>664</v>
      </c>
      <c r="D723" s="81">
        <v>800</v>
      </c>
      <c r="E723" s="81" t="s">
        <v>596</v>
      </c>
      <c r="F723" s="81">
        <v>7166</v>
      </c>
      <c r="G723" s="81" t="s">
        <v>282</v>
      </c>
      <c r="H723" s="81">
        <v>7265</v>
      </c>
      <c r="I723" s="81" t="s">
        <v>646</v>
      </c>
      <c r="J723" s="81">
        <v>5</v>
      </c>
      <c r="K723" s="81">
        <v>113</v>
      </c>
      <c r="L723" s="81" t="s">
        <v>663</v>
      </c>
    </row>
    <row r="724" spans="1:12" ht="15" customHeight="1">
      <c r="A724" s="112">
        <v>11307266</v>
      </c>
      <c r="B724" s="112" t="s">
        <v>1869</v>
      </c>
      <c r="C724" s="81" t="s">
        <v>664</v>
      </c>
      <c r="D724" s="81">
        <v>800</v>
      </c>
      <c r="E724" s="81" t="s">
        <v>596</v>
      </c>
      <c r="F724" s="81">
        <v>7266</v>
      </c>
      <c r="G724" s="81" t="s">
        <v>282</v>
      </c>
      <c r="H724" s="81">
        <v>7365</v>
      </c>
      <c r="I724" s="81" t="s">
        <v>647</v>
      </c>
      <c r="J724" s="81">
        <v>5</v>
      </c>
      <c r="K724" s="81">
        <v>113</v>
      </c>
      <c r="L724" s="81" t="s">
        <v>663</v>
      </c>
    </row>
    <row r="725" spans="1:12" ht="15" customHeight="1">
      <c r="A725" s="112">
        <v>11307366</v>
      </c>
      <c r="B725" s="112" t="s">
        <v>1870</v>
      </c>
      <c r="C725" s="81" t="s">
        <v>664</v>
      </c>
      <c r="D725" s="81">
        <v>800</v>
      </c>
      <c r="E725" s="81" t="s">
        <v>596</v>
      </c>
      <c r="F725" s="81">
        <v>7366</v>
      </c>
      <c r="G725" s="81" t="s">
        <v>282</v>
      </c>
      <c r="H725" s="81">
        <v>7465</v>
      </c>
      <c r="I725" s="81" t="s">
        <v>648</v>
      </c>
      <c r="J725" s="81">
        <v>5</v>
      </c>
      <c r="K725" s="81">
        <v>113</v>
      </c>
      <c r="L725" s="81" t="s">
        <v>663</v>
      </c>
    </row>
    <row r="726" spans="1:12" ht="15" customHeight="1">
      <c r="A726" s="112">
        <v>11307466</v>
      </c>
      <c r="B726" s="112" t="s">
        <v>1871</v>
      </c>
      <c r="C726" s="81" t="s">
        <v>664</v>
      </c>
      <c r="D726" s="81">
        <v>800</v>
      </c>
      <c r="E726" s="81" t="s">
        <v>596</v>
      </c>
      <c r="F726" s="81">
        <v>7466</v>
      </c>
      <c r="G726" s="81" t="s">
        <v>282</v>
      </c>
      <c r="H726" s="81">
        <v>7565</v>
      </c>
      <c r="I726" s="81" t="s">
        <v>649</v>
      </c>
      <c r="J726" s="81">
        <v>5</v>
      </c>
      <c r="K726" s="81">
        <v>113</v>
      </c>
      <c r="L726" s="81" t="s">
        <v>663</v>
      </c>
    </row>
    <row r="727" spans="1:12" ht="15" customHeight="1">
      <c r="A727" s="112">
        <v>11307566</v>
      </c>
      <c r="B727" s="112" t="s">
        <v>1872</v>
      </c>
      <c r="C727" s="81" t="s">
        <v>664</v>
      </c>
      <c r="D727" s="81">
        <v>800</v>
      </c>
      <c r="E727" s="81" t="s">
        <v>596</v>
      </c>
      <c r="F727" s="81">
        <v>7566</v>
      </c>
      <c r="G727" s="81" t="s">
        <v>282</v>
      </c>
      <c r="H727" s="81">
        <v>7665</v>
      </c>
      <c r="I727" s="81" t="s">
        <v>650</v>
      </c>
      <c r="J727" s="81">
        <v>5</v>
      </c>
      <c r="K727" s="81">
        <v>113</v>
      </c>
      <c r="L727" s="81" t="s">
        <v>663</v>
      </c>
    </row>
    <row r="728" spans="1:12" ht="15" customHeight="1">
      <c r="A728" s="112">
        <v>11307666</v>
      </c>
      <c r="B728" s="112" t="s">
        <v>1873</v>
      </c>
      <c r="C728" s="81" t="s">
        <v>664</v>
      </c>
      <c r="D728" s="81">
        <v>800</v>
      </c>
      <c r="E728" s="81" t="s">
        <v>596</v>
      </c>
      <c r="F728" s="81">
        <v>7666</v>
      </c>
      <c r="G728" s="81" t="s">
        <v>282</v>
      </c>
      <c r="H728" s="81">
        <v>7765</v>
      </c>
      <c r="I728" s="81" t="s">
        <v>651</v>
      </c>
      <c r="J728" s="81">
        <v>6</v>
      </c>
      <c r="K728" s="81">
        <v>113</v>
      </c>
      <c r="L728" s="81" t="s">
        <v>663</v>
      </c>
    </row>
    <row r="729" spans="1:12" ht="15" customHeight="1">
      <c r="A729" s="112">
        <v>11307766</v>
      </c>
      <c r="B729" s="112" t="s">
        <v>1874</v>
      </c>
      <c r="C729" s="81" t="s">
        <v>664</v>
      </c>
      <c r="D729" s="81">
        <v>800</v>
      </c>
      <c r="E729" s="81" t="s">
        <v>596</v>
      </c>
      <c r="F729" s="81">
        <v>7766</v>
      </c>
      <c r="G729" s="81" t="s">
        <v>282</v>
      </c>
      <c r="H729" s="81">
        <v>7865</v>
      </c>
      <c r="I729" s="81" t="s">
        <v>652</v>
      </c>
      <c r="J729" s="81">
        <v>6</v>
      </c>
      <c r="K729" s="81">
        <v>113</v>
      </c>
      <c r="L729" s="81" t="s">
        <v>663</v>
      </c>
    </row>
    <row r="730" spans="1:12" ht="15" customHeight="1">
      <c r="A730" s="112">
        <v>11307866</v>
      </c>
      <c r="B730" s="112" t="s">
        <v>1875</v>
      </c>
      <c r="C730" s="81" t="s">
        <v>664</v>
      </c>
      <c r="D730" s="81">
        <v>800</v>
      </c>
      <c r="E730" s="81" t="s">
        <v>596</v>
      </c>
      <c r="F730" s="81">
        <v>7866</v>
      </c>
      <c r="G730" s="81" t="s">
        <v>282</v>
      </c>
      <c r="H730" s="81">
        <v>7965</v>
      </c>
      <c r="I730" s="81" t="s">
        <v>653</v>
      </c>
      <c r="J730" s="81">
        <v>6</v>
      </c>
      <c r="K730" s="81">
        <v>113</v>
      </c>
      <c r="L730" s="81" t="s">
        <v>663</v>
      </c>
    </row>
    <row r="731" spans="1:12" ht="15" customHeight="1">
      <c r="A731" s="112">
        <v>11307966</v>
      </c>
      <c r="B731" s="112" t="s">
        <v>1876</v>
      </c>
      <c r="C731" s="81" t="s">
        <v>664</v>
      </c>
      <c r="D731" s="81">
        <v>800</v>
      </c>
      <c r="E731" s="81" t="s">
        <v>596</v>
      </c>
      <c r="F731" s="81">
        <v>7966</v>
      </c>
      <c r="G731" s="81" t="s">
        <v>282</v>
      </c>
      <c r="H731" s="81">
        <v>8065</v>
      </c>
      <c r="I731" s="81" t="s">
        <v>654</v>
      </c>
      <c r="J731" s="81">
        <v>6</v>
      </c>
      <c r="K731" s="81">
        <v>113</v>
      </c>
      <c r="L731" s="81" t="s">
        <v>663</v>
      </c>
    </row>
    <row r="732" spans="1:12" ht="15" customHeight="1">
      <c r="A732" s="112">
        <v>11400000</v>
      </c>
      <c r="B732" s="112" t="s">
        <v>1877</v>
      </c>
      <c r="C732" s="81" t="s">
        <v>664</v>
      </c>
      <c r="D732" s="81">
        <v>800</v>
      </c>
      <c r="E732" s="81" t="s">
        <v>264</v>
      </c>
      <c r="F732" s="81">
        <v>0</v>
      </c>
      <c r="G732" s="81" t="s">
        <v>282</v>
      </c>
      <c r="H732" s="81">
        <v>2640</v>
      </c>
      <c r="I732" s="81" t="s">
        <v>597</v>
      </c>
      <c r="J732" s="81">
        <v>0</v>
      </c>
      <c r="K732" s="81">
        <v>114</v>
      </c>
      <c r="L732" s="81" t="s">
        <v>663</v>
      </c>
    </row>
    <row r="733" spans="1:12" ht="15" customHeight="1">
      <c r="A733" s="112">
        <v>11402641</v>
      </c>
      <c r="B733" s="112" t="s">
        <v>1878</v>
      </c>
      <c r="C733" s="81" t="s">
        <v>664</v>
      </c>
      <c r="D733" s="81">
        <v>800</v>
      </c>
      <c r="E733" s="81" t="s">
        <v>264</v>
      </c>
      <c r="F733" s="81">
        <v>2641</v>
      </c>
      <c r="G733" s="81" t="s">
        <v>282</v>
      </c>
      <c r="H733" s="81">
        <v>2715</v>
      </c>
      <c r="I733" s="81" t="s">
        <v>599</v>
      </c>
      <c r="J733" s="81">
        <v>0</v>
      </c>
      <c r="K733" s="81">
        <v>114</v>
      </c>
      <c r="L733" s="81" t="s">
        <v>663</v>
      </c>
    </row>
    <row r="734" spans="1:12" ht="15" customHeight="1">
      <c r="A734" s="112">
        <v>11402716</v>
      </c>
      <c r="B734" s="112" t="s">
        <v>1879</v>
      </c>
      <c r="C734" s="81" t="s">
        <v>664</v>
      </c>
      <c r="D734" s="81">
        <v>800</v>
      </c>
      <c r="E734" s="81" t="s">
        <v>264</v>
      </c>
      <c r="F734" s="81">
        <v>2716</v>
      </c>
      <c r="G734" s="81" t="s">
        <v>282</v>
      </c>
      <c r="H734" s="81">
        <v>2765</v>
      </c>
      <c r="I734" s="81" t="s">
        <v>600</v>
      </c>
      <c r="J734" s="81">
        <v>0</v>
      </c>
      <c r="K734" s="81">
        <v>114</v>
      </c>
      <c r="L734" s="81" t="s">
        <v>663</v>
      </c>
    </row>
    <row r="735" spans="1:12" ht="15" customHeight="1">
      <c r="A735" s="112">
        <v>11402766</v>
      </c>
      <c r="B735" s="112" t="s">
        <v>1880</v>
      </c>
      <c r="C735" s="81" t="s">
        <v>664</v>
      </c>
      <c r="D735" s="81">
        <v>800</v>
      </c>
      <c r="E735" s="81" t="s">
        <v>264</v>
      </c>
      <c r="F735" s="81">
        <v>2766</v>
      </c>
      <c r="G735" s="81" t="s">
        <v>282</v>
      </c>
      <c r="H735" s="81">
        <v>2865</v>
      </c>
      <c r="I735" s="81" t="s">
        <v>602</v>
      </c>
      <c r="J735" s="81">
        <v>0</v>
      </c>
      <c r="K735" s="81">
        <v>114</v>
      </c>
      <c r="L735" s="81" t="s">
        <v>663</v>
      </c>
    </row>
    <row r="736" spans="1:12" ht="15" customHeight="1">
      <c r="A736" s="112">
        <v>11402866</v>
      </c>
      <c r="B736" s="112" t="s">
        <v>1881</v>
      </c>
      <c r="C736" s="81" t="s">
        <v>664</v>
      </c>
      <c r="D736" s="81">
        <v>800</v>
      </c>
      <c r="E736" s="81" t="s">
        <v>264</v>
      </c>
      <c r="F736" s="81">
        <v>2866</v>
      </c>
      <c r="G736" s="81" t="s">
        <v>282</v>
      </c>
      <c r="H736" s="81">
        <v>2965</v>
      </c>
      <c r="I736" s="81" t="s">
        <v>603</v>
      </c>
      <c r="J736" s="81">
        <v>0</v>
      </c>
      <c r="K736" s="81">
        <v>114</v>
      </c>
      <c r="L736" s="81" t="s">
        <v>663</v>
      </c>
    </row>
    <row r="737" spans="1:12" ht="15" customHeight="1">
      <c r="A737" s="112">
        <v>11402966</v>
      </c>
      <c r="B737" s="112" t="s">
        <v>1882</v>
      </c>
      <c r="C737" s="81" t="s">
        <v>664</v>
      </c>
      <c r="D737" s="81">
        <v>800</v>
      </c>
      <c r="E737" s="81" t="s">
        <v>264</v>
      </c>
      <c r="F737" s="81">
        <v>2966</v>
      </c>
      <c r="G737" s="81" t="s">
        <v>282</v>
      </c>
      <c r="H737" s="81">
        <v>3065</v>
      </c>
      <c r="I737" s="81" t="s">
        <v>604</v>
      </c>
      <c r="J737" s="81">
        <v>0</v>
      </c>
      <c r="K737" s="81">
        <v>114</v>
      </c>
      <c r="L737" s="81" t="s">
        <v>663</v>
      </c>
    </row>
    <row r="738" spans="1:12" ht="15" customHeight="1">
      <c r="A738" s="112">
        <v>11403066</v>
      </c>
      <c r="B738" s="112" t="s">
        <v>1883</v>
      </c>
      <c r="C738" s="81" t="s">
        <v>664</v>
      </c>
      <c r="D738" s="81">
        <v>800</v>
      </c>
      <c r="E738" s="81" t="s">
        <v>264</v>
      </c>
      <c r="F738" s="81">
        <v>3066</v>
      </c>
      <c r="G738" s="81" t="s">
        <v>282</v>
      </c>
      <c r="H738" s="81">
        <v>3165</v>
      </c>
      <c r="I738" s="81" t="s">
        <v>605</v>
      </c>
      <c r="J738" s="81">
        <v>0</v>
      </c>
      <c r="K738" s="81">
        <v>114</v>
      </c>
      <c r="L738" s="81" t="s">
        <v>663</v>
      </c>
    </row>
    <row r="739" spans="1:12" ht="15" customHeight="1">
      <c r="A739" s="112">
        <v>11403166</v>
      </c>
      <c r="B739" s="112" t="s">
        <v>1884</v>
      </c>
      <c r="C739" s="81" t="s">
        <v>664</v>
      </c>
      <c r="D739" s="81">
        <v>800</v>
      </c>
      <c r="E739" s="81" t="s">
        <v>264</v>
      </c>
      <c r="F739" s="81">
        <v>3166</v>
      </c>
      <c r="G739" s="81" t="s">
        <v>282</v>
      </c>
      <c r="H739" s="81">
        <v>3265</v>
      </c>
      <c r="I739" s="81" t="s">
        <v>606</v>
      </c>
      <c r="J739" s="81">
        <v>0</v>
      </c>
      <c r="K739" s="81">
        <v>114</v>
      </c>
      <c r="L739" s="81" t="s">
        <v>663</v>
      </c>
    </row>
    <row r="740" spans="1:12" ht="15" customHeight="1">
      <c r="A740" s="112">
        <v>11403266</v>
      </c>
      <c r="B740" s="112" t="s">
        <v>1885</v>
      </c>
      <c r="C740" s="81" t="s">
        <v>664</v>
      </c>
      <c r="D740" s="81">
        <v>800</v>
      </c>
      <c r="E740" s="81" t="s">
        <v>264</v>
      </c>
      <c r="F740" s="81">
        <v>3266</v>
      </c>
      <c r="G740" s="81" t="s">
        <v>282</v>
      </c>
      <c r="H740" s="81">
        <v>3365</v>
      </c>
      <c r="I740" s="81" t="s">
        <v>607</v>
      </c>
      <c r="J740" s="81">
        <v>0</v>
      </c>
      <c r="K740" s="81">
        <v>114</v>
      </c>
      <c r="L740" s="81" t="s">
        <v>663</v>
      </c>
    </row>
    <row r="741" spans="1:12" ht="15" customHeight="1">
      <c r="A741" s="112">
        <v>11403366</v>
      </c>
      <c r="B741" s="112" t="s">
        <v>1886</v>
      </c>
      <c r="C741" s="81" t="s">
        <v>664</v>
      </c>
      <c r="D741" s="81">
        <v>800</v>
      </c>
      <c r="E741" s="81" t="s">
        <v>264</v>
      </c>
      <c r="F741" s="81">
        <v>3366</v>
      </c>
      <c r="G741" s="81" t="s">
        <v>282</v>
      </c>
      <c r="H741" s="81">
        <v>3465</v>
      </c>
      <c r="I741" s="81" t="s">
        <v>608</v>
      </c>
      <c r="J741" s="81">
        <v>0</v>
      </c>
      <c r="K741" s="81">
        <v>114</v>
      </c>
      <c r="L741" s="81" t="s">
        <v>663</v>
      </c>
    </row>
    <row r="742" spans="1:12" ht="15" customHeight="1">
      <c r="A742" s="112">
        <v>11403466</v>
      </c>
      <c r="B742" s="112" t="s">
        <v>1887</v>
      </c>
      <c r="C742" s="81" t="s">
        <v>664</v>
      </c>
      <c r="D742" s="81">
        <v>800</v>
      </c>
      <c r="E742" s="81" t="s">
        <v>264</v>
      </c>
      <c r="F742" s="81">
        <v>3466</v>
      </c>
      <c r="G742" s="81" t="s">
        <v>282</v>
      </c>
      <c r="H742" s="81">
        <v>3565</v>
      </c>
      <c r="I742" s="81" t="s">
        <v>609</v>
      </c>
      <c r="J742" s="81">
        <v>0</v>
      </c>
      <c r="K742" s="81">
        <v>114</v>
      </c>
      <c r="L742" s="81" t="s">
        <v>663</v>
      </c>
    </row>
    <row r="743" spans="1:12" ht="15" customHeight="1">
      <c r="A743" s="112">
        <v>11403566</v>
      </c>
      <c r="B743" s="112" t="s">
        <v>1888</v>
      </c>
      <c r="C743" s="81" t="s">
        <v>664</v>
      </c>
      <c r="D743" s="81">
        <v>800</v>
      </c>
      <c r="E743" s="81" t="s">
        <v>264</v>
      </c>
      <c r="F743" s="81">
        <v>3566</v>
      </c>
      <c r="G743" s="81" t="s">
        <v>282</v>
      </c>
      <c r="H743" s="81">
        <v>3665</v>
      </c>
      <c r="I743" s="81" t="s">
        <v>610</v>
      </c>
      <c r="J743" s="81">
        <v>0</v>
      </c>
      <c r="K743" s="81">
        <v>114</v>
      </c>
      <c r="L743" s="81" t="s">
        <v>663</v>
      </c>
    </row>
    <row r="744" spans="1:12" ht="15" customHeight="1">
      <c r="A744" s="112">
        <v>11403666</v>
      </c>
      <c r="B744" s="112" t="s">
        <v>1889</v>
      </c>
      <c r="C744" s="81" t="s">
        <v>664</v>
      </c>
      <c r="D744" s="81">
        <v>800</v>
      </c>
      <c r="E744" s="81" t="s">
        <v>264</v>
      </c>
      <c r="F744" s="81">
        <v>3666</v>
      </c>
      <c r="G744" s="81" t="s">
        <v>282</v>
      </c>
      <c r="H744" s="81">
        <v>3765</v>
      </c>
      <c r="I744" s="81" t="s">
        <v>611</v>
      </c>
      <c r="J744" s="81">
        <v>1</v>
      </c>
      <c r="K744" s="81">
        <v>114</v>
      </c>
      <c r="L744" s="81" t="s">
        <v>663</v>
      </c>
    </row>
    <row r="745" spans="1:12" ht="15" customHeight="1">
      <c r="A745" s="112">
        <v>11403766</v>
      </c>
      <c r="B745" s="112" t="s">
        <v>1890</v>
      </c>
      <c r="C745" s="81" t="s">
        <v>664</v>
      </c>
      <c r="D745" s="81">
        <v>800</v>
      </c>
      <c r="E745" s="81" t="s">
        <v>264</v>
      </c>
      <c r="F745" s="81">
        <v>3766</v>
      </c>
      <c r="G745" s="81" t="s">
        <v>282</v>
      </c>
      <c r="H745" s="81">
        <v>3865</v>
      </c>
      <c r="I745" s="81" t="s">
        <v>612</v>
      </c>
      <c r="J745" s="81">
        <v>1</v>
      </c>
      <c r="K745" s="81">
        <v>114</v>
      </c>
      <c r="L745" s="81" t="s">
        <v>663</v>
      </c>
    </row>
    <row r="746" spans="1:12" ht="15" customHeight="1">
      <c r="A746" s="112">
        <v>11403866</v>
      </c>
      <c r="B746" s="112" t="s">
        <v>1891</v>
      </c>
      <c r="C746" s="81" t="s">
        <v>664</v>
      </c>
      <c r="D746" s="81">
        <v>800</v>
      </c>
      <c r="E746" s="81" t="s">
        <v>264</v>
      </c>
      <c r="F746" s="81">
        <v>3866</v>
      </c>
      <c r="G746" s="81" t="s">
        <v>282</v>
      </c>
      <c r="H746" s="81">
        <v>3965</v>
      </c>
      <c r="I746" s="81" t="s">
        <v>613</v>
      </c>
      <c r="J746" s="81">
        <v>1</v>
      </c>
      <c r="K746" s="81">
        <v>114</v>
      </c>
      <c r="L746" s="81" t="s">
        <v>663</v>
      </c>
    </row>
    <row r="747" spans="1:12" ht="15" customHeight="1">
      <c r="A747" s="112">
        <v>11403966</v>
      </c>
      <c r="B747" s="112" t="s">
        <v>1892</v>
      </c>
      <c r="C747" s="81" t="s">
        <v>664</v>
      </c>
      <c r="D747" s="81">
        <v>800</v>
      </c>
      <c r="E747" s="81" t="s">
        <v>264</v>
      </c>
      <c r="F747" s="81">
        <v>3966</v>
      </c>
      <c r="G747" s="81" t="s">
        <v>282</v>
      </c>
      <c r="H747" s="81">
        <v>4065</v>
      </c>
      <c r="I747" s="81" t="s">
        <v>614</v>
      </c>
      <c r="J747" s="81">
        <v>1</v>
      </c>
      <c r="K747" s="81">
        <v>114</v>
      </c>
      <c r="L747" s="81" t="s">
        <v>663</v>
      </c>
    </row>
    <row r="748" spans="1:12" ht="15" customHeight="1">
      <c r="A748" s="112">
        <v>11404066</v>
      </c>
      <c r="B748" s="112" t="s">
        <v>1893</v>
      </c>
      <c r="C748" s="81" t="s">
        <v>664</v>
      </c>
      <c r="D748" s="81">
        <v>800</v>
      </c>
      <c r="E748" s="81" t="s">
        <v>264</v>
      </c>
      <c r="F748" s="81">
        <v>4066</v>
      </c>
      <c r="G748" s="81" t="s">
        <v>282</v>
      </c>
      <c r="H748" s="81">
        <v>4165</v>
      </c>
      <c r="I748" s="81" t="s">
        <v>615</v>
      </c>
      <c r="J748" s="81">
        <v>1</v>
      </c>
      <c r="K748" s="81">
        <v>114</v>
      </c>
      <c r="L748" s="81" t="s">
        <v>663</v>
      </c>
    </row>
    <row r="749" spans="1:12" ht="15" customHeight="1">
      <c r="A749" s="112">
        <v>11404166</v>
      </c>
      <c r="B749" s="112" t="s">
        <v>1894</v>
      </c>
      <c r="C749" s="81" t="s">
        <v>664</v>
      </c>
      <c r="D749" s="81">
        <v>800</v>
      </c>
      <c r="E749" s="81" t="s">
        <v>264</v>
      </c>
      <c r="F749" s="81">
        <v>4166</v>
      </c>
      <c r="G749" s="81" t="s">
        <v>282</v>
      </c>
      <c r="H749" s="81">
        <v>4265</v>
      </c>
      <c r="I749" s="81" t="s">
        <v>616</v>
      </c>
      <c r="J749" s="81">
        <v>1</v>
      </c>
      <c r="K749" s="81">
        <v>114</v>
      </c>
      <c r="L749" s="81" t="s">
        <v>663</v>
      </c>
    </row>
    <row r="750" spans="1:12" ht="15" customHeight="1">
      <c r="A750" s="112">
        <v>11404266</v>
      </c>
      <c r="B750" s="112" t="s">
        <v>1895</v>
      </c>
      <c r="C750" s="81" t="s">
        <v>664</v>
      </c>
      <c r="D750" s="81">
        <v>800</v>
      </c>
      <c r="E750" s="81" t="s">
        <v>264</v>
      </c>
      <c r="F750" s="81">
        <v>4266</v>
      </c>
      <c r="G750" s="81" t="s">
        <v>282</v>
      </c>
      <c r="H750" s="81">
        <v>4365</v>
      </c>
      <c r="I750" s="81" t="s">
        <v>617</v>
      </c>
      <c r="J750" s="81">
        <v>1</v>
      </c>
      <c r="K750" s="81">
        <v>114</v>
      </c>
      <c r="L750" s="81" t="s">
        <v>663</v>
      </c>
    </row>
    <row r="751" spans="1:12" ht="15" customHeight="1">
      <c r="A751" s="112">
        <v>11404366</v>
      </c>
      <c r="B751" s="112" t="s">
        <v>1896</v>
      </c>
      <c r="C751" s="81" t="s">
        <v>664</v>
      </c>
      <c r="D751" s="81">
        <v>800</v>
      </c>
      <c r="E751" s="81" t="s">
        <v>264</v>
      </c>
      <c r="F751" s="81">
        <v>4366</v>
      </c>
      <c r="G751" s="81" t="s">
        <v>282</v>
      </c>
      <c r="H751" s="81">
        <v>4465</v>
      </c>
      <c r="I751" s="81" t="s">
        <v>618</v>
      </c>
      <c r="J751" s="81">
        <v>1</v>
      </c>
      <c r="K751" s="81">
        <v>114</v>
      </c>
      <c r="L751" s="81" t="s">
        <v>663</v>
      </c>
    </row>
    <row r="752" spans="1:12" ht="15" customHeight="1">
      <c r="A752" s="112">
        <v>11404466</v>
      </c>
      <c r="B752" s="112" t="s">
        <v>1897</v>
      </c>
      <c r="C752" s="81" t="s">
        <v>664</v>
      </c>
      <c r="D752" s="81">
        <v>800</v>
      </c>
      <c r="E752" s="81" t="s">
        <v>264</v>
      </c>
      <c r="F752" s="81">
        <v>4466</v>
      </c>
      <c r="G752" s="81" t="s">
        <v>282</v>
      </c>
      <c r="H752" s="81">
        <v>4565</v>
      </c>
      <c r="I752" s="81" t="s">
        <v>619</v>
      </c>
      <c r="J752" s="81">
        <v>2</v>
      </c>
      <c r="K752" s="81">
        <v>114</v>
      </c>
      <c r="L752" s="81" t="s">
        <v>663</v>
      </c>
    </row>
    <row r="753" spans="1:12" ht="15" customHeight="1">
      <c r="A753" s="112">
        <v>11404566</v>
      </c>
      <c r="B753" s="112" t="s">
        <v>1898</v>
      </c>
      <c r="C753" s="81" t="s">
        <v>664</v>
      </c>
      <c r="D753" s="81">
        <v>800</v>
      </c>
      <c r="E753" s="81" t="s">
        <v>264</v>
      </c>
      <c r="F753" s="81">
        <v>4566</v>
      </c>
      <c r="G753" s="81" t="s">
        <v>282</v>
      </c>
      <c r="H753" s="81">
        <v>4665</v>
      </c>
      <c r="I753" s="81" t="s">
        <v>620</v>
      </c>
      <c r="J753" s="81">
        <v>2</v>
      </c>
      <c r="K753" s="81">
        <v>114</v>
      </c>
      <c r="L753" s="81" t="s">
        <v>663</v>
      </c>
    </row>
    <row r="754" spans="1:12" ht="15" customHeight="1">
      <c r="A754" s="112">
        <v>11404666</v>
      </c>
      <c r="B754" s="112" t="s">
        <v>1899</v>
      </c>
      <c r="C754" s="81" t="s">
        <v>664</v>
      </c>
      <c r="D754" s="81">
        <v>800</v>
      </c>
      <c r="E754" s="81" t="s">
        <v>264</v>
      </c>
      <c r="F754" s="81">
        <v>4666</v>
      </c>
      <c r="G754" s="81" t="s">
        <v>282</v>
      </c>
      <c r="H754" s="81">
        <v>4765</v>
      </c>
      <c r="I754" s="81" t="s">
        <v>621</v>
      </c>
      <c r="J754" s="81">
        <v>2</v>
      </c>
      <c r="K754" s="81">
        <v>114</v>
      </c>
      <c r="L754" s="81" t="s">
        <v>663</v>
      </c>
    </row>
    <row r="755" spans="1:12" ht="15" customHeight="1">
      <c r="A755" s="112">
        <v>11404766</v>
      </c>
      <c r="B755" s="112" t="s">
        <v>1900</v>
      </c>
      <c r="C755" s="81" t="s">
        <v>664</v>
      </c>
      <c r="D755" s="81">
        <v>800</v>
      </c>
      <c r="E755" s="81" t="s">
        <v>264</v>
      </c>
      <c r="F755" s="81">
        <v>4766</v>
      </c>
      <c r="G755" s="81" t="s">
        <v>282</v>
      </c>
      <c r="H755" s="81">
        <v>4865</v>
      </c>
      <c r="I755" s="81" t="s">
        <v>622</v>
      </c>
      <c r="J755" s="81">
        <v>2</v>
      </c>
      <c r="K755" s="81">
        <v>114</v>
      </c>
      <c r="L755" s="81" t="s">
        <v>663</v>
      </c>
    </row>
    <row r="756" spans="1:12" ht="15" customHeight="1">
      <c r="A756" s="112">
        <v>11404866</v>
      </c>
      <c r="B756" s="112" t="s">
        <v>1901</v>
      </c>
      <c r="C756" s="81" t="s">
        <v>664</v>
      </c>
      <c r="D756" s="81">
        <v>800</v>
      </c>
      <c r="E756" s="81" t="s">
        <v>264</v>
      </c>
      <c r="F756" s="81">
        <v>4866</v>
      </c>
      <c r="G756" s="81" t="s">
        <v>282</v>
      </c>
      <c r="H756" s="81">
        <v>4965</v>
      </c>
      <c r="I756" s="81" t="s">
        <v>623</v>
      </c>
      <c r="J756" s="81">
        <v>2</v>
      </c>
      <c r="K756" s="81">
        <v>114</v>
      </c>
      <c r="L756" s="81" t="s">
        <v>663</v>
      </c>
    </row>
    <row r="757" spans="1:12" ht="15" customHeight="1">
      <c r="A757" s="112">
        <v>11404966</v>
      </c>
      <c r="B757" s="112" t="s">
        <v>1902</v>
      </c>
      <c r="C757" s="81" t="s">
        <v>664</v>
      </c>
      <c r="D757" s="81">
        <v>800</v>
      </c>
      <c r="E757" s="81" t="s">
        <v>264</v>
      </c>
      <c r="F757" s="81">
        <v>4966</v>
      </c>
      <c r="G757" s="81" t="s">
        <v>282</v>
      </c>
      <c r="H757" s="81">
        <v>5065</v>
      </c>
      <c r="I757" s="81" t="s">
        <v>624</v>
      </c>
      <c r="J757" s="81">
        <v>2</v>
      </c>
      <c r="K757" s="81">
        <v>114</v>
      </c>
      <c r="L757" s="81" t="s">
        <v>663</v>
      </c>
    </row>
    <row r="758" spans="1:12" ht="15" customHeight="1">
      <c r="A758" s="112">
        <v>11405066</v>
      </c>
      <c r="B758" s="112" t="s">
        <v>1903</v>
      </c>
      <c r="C758" s="81" t="s">
        <v>664</v>
      </c>
      <c r="D758" s="81">
        <v>800</v>
      </c>
      <c r="E758" s="81" t="s">
        <v>264</v>
      </c>
      <c r="F758" s="81">
        <v>5066</v>
      </c>
      <c r="G758" s="81" t="s">
        <v>282</v>
      </c>
      <c r="H758" s="81">
        <v>5165</v>
      </c>
      <c r="I758" s="81" t="s">
        <v>625</v>
      </c>
      <c r="J758" s="81">
        <v>2</v>
      </c>
      <c r="K758" s="81">
        <v>114</v>
      </c>
      <c r="L758" s="81" t="s">
        <v>663</v>
      </c>
    </row>
    <row r="759" spans="1:12" ht="15" customHeight="1">
      <c r="A759" s="112">
        <v>11405166</v>
      </c>
      <c r="B759" s="112" t="s">
        <v>1904</v>
      </c>
      <c r="C759" s="81" t="s">
        <v>664</v>
      </c>
      <c r="D759" s="81">
        <v>800</v>
      </c>
      <c r="E759" s="81" t="s">
        <v>264</v>
      </c>
      <c r="F759" s="81">
        <v>5166</v>
      </c>
      <c r="G759" s="81" t="s">
        <v>282</v>
      </c>
      <c r="H759" s="81">
        <v>5265</v>
      </c>
      <c r="I759" s="81" t="s">
        <v>626</v>
      </c>
      <c r="J759" s="81">
        <v>2</v>
      </c>
      <c r="K759" s="81">
        <v>114</v>
      </c>
      <c r="L759" s="81" t="s">
        <v>663</v>
      </c>
    </row>
    <row r="760" spans="1:12" ht="15" customHeight="1">
      <c r="A760" s="112">
        <v>11405266</v>
      </c>
      <c r="B760" s="112" t="s">
        <v>1905</v>
      </c>
      <c r="C760" s="81" t="s">
        <v>664</v>
      </c>
      <c r="D760" s="81">
        <v>800</v>
      </c>
      <c r="E760" s="81" t="s">
        <v>264</v>
      </c>
      <c r="F760" s="81">
        <v>5266</v>
      </c>
      <c r="G760" s="81" t="s">
        <v>282</v>
      </c>
      <c r="H760" s="81">
        <v>5365</v>
      </c>
      <c r="I760" s="81" t="s">
        <v>627</v>
      </c>
      <c r="J760" s="81">
        <v>3</v>
      </c>
      <c r="K760" s="81">
        <v>114</v>
      </c>
      <c r="L760" s="81" t="s">
        <v>663</v>
      </c>
    </row>
    <row r="761" spans="1:12" ht="15" customHeight="1">
      <c r="A761" s="112">
        <v>11405366</v>
      </c>
      <c r="B761" s="112" t="s">
        <v>1906</v>
      </c>
      <c r="C761" s="81" t="s">
        <v>664</v>
      </c>
      <c r="D761" s="81">
        <v>800</v>
      </c>
      <c r="E761" s="81" t="s">
        <v>264</v>
      </c>
      <c r="F761" s="81">
        <v>5366</v>
      </c>
      <c r="G761" s="81" t="s">
        <v>282</v>
      </c>
      <c r="H761" s="81">
        <v>5465</v>
      </c>
      <c r="I761" s="81" t="s">
        <v>628</v>
      </c>
      <c r="J761" s="81">
        <v>3</v>
      </c>
      <c r="K761" s="81">
        <v>114</v>
      </c>
      <c r="L761" s="81" t="s">
        <v>663</v>
      </c>
    </row>
    <row r="762" spans="1:12" ht="15" customHeight="1">
      <c r="A762" s="112">
        <v>11405466</v>
      </c>
      <c r="B762" s="112" t="s">
        <v>1907</v>
      </c>
      <c r="C762" s="81" t="s">
        <v>664</v>
      </c>
      <c r="D762" s="81">
        <v>800</v>
      </c>
      <c r="E762" s="81" t="s">
        <v>264</v>
      </c>
      <c r="F762" s="81">
        <v>5466</v>
      </c>
      <c r="G762" s="81" t="s">
        <v>282</v>
      </c>
      <c r="H762" s="81">
        <v>5565</v>
      </c>
      <c r="I762" s="81" t="s">
        <v>629</v>
      </c>
      <c r="J762" s="81">
        <v>3</v>
      </c>
      <c r="K762" s="81">
        <v>114</v>
      </c>
      <c r="L762" s="81" t="s">
        <v>663</v>
      </c>
    </row>
    <row r="763" spans="1:12" ht="15" customHeight="1">
      <c r="A763" s="112">
        <v>11405566</v>
      </c>
      <c r="B763" s="112" t="s">
        <v>1908</v>
      </c>
      <c r="C763" s="81" t="s">
        <v>664</v>
      </c>
      <c r="D763" s="81">
        <v>800</v>
      </c>
      <c r="E763" s="81" t="s">
        <v>264</v>
      </c>
      <c r="F763" s="81">
        <v>5566</v>
      </c>
      <c r="G763" s="81" t="s">
        <v>282</v>
      </c>
      <c r="H763" s="81">
        <v>5665</v>
      </c>
      <c r="I763" s="81" t="s">
        <v>630</v>
      </c>
      <c r="J763" s="81">
        <v>3</v>
      </c>
      <c r="K763" s="81">
        <v>114</v>
      </c>
      <c r="L763" s="81" t="s">
        <v>663</v>
      </c>
    </row>
    <row r="764" spans="1:12" ht="15" customHeight="1">
      <c r="A764" s="112">
        <v>11405666</v>
      </c>
      <c r="B764" s="112" t="s">
        <v>1909</v>
      </c>
      <c r="C764" s="81" t="s">
        <v>664</v>
      </c>
      <c r="D764" s="81">
        <v>800</v>
      </c>
      <c r="E764" s="81" t="s">
        <v>264</v>
      </c>
      <c r="F764" s="81">
        <v>5666</v>
      </c>
      <c r="G764" s="81" t="s">
        <v>282</v>
      </c>
      <c r="H764" s="81">
        <v>5765</v>
      </c>
      <c r="I764" s="81" t="s">
        <v>631</v>
      </c>
      <c r="J764" s="81">
        <v>3</v>
      </c>
      <c r="K764" s="81">
        <v>114</v>
      </c>
      <c r="L764" s="81" t="s">
        <v>663</v>
      </c>
    </row>
    <row r="765" spans="1:12" ht="15" customHeight="1">
      <c r="A765" s="112">
        <v>11405766</v>
      </c>
      <c r="B765" s="112" t="s">
        <v>1910</v>
      </c>
      <c r="C765" s="81" t="s">
        <v>664</v>
      </c>
      <c r="D765" s="81">
        <v>800</v>
      </c>
      <c r="E765" s="81" t="s">
        <v>264</v>
      </c>
      <c r="F765" s="81">
        <v>5766</v>
      </c>
      <c r="G765" s="81" t="s">
        <v>282</v>
      </c>
      <c r="H765" s="81">
        <v>5865</v>
      </c>
      <c r="I765" s="81" t="s">
        <v>632</v>
      </c>
      <c r="J765" s="81">
        <v>3</v>
      </c>
      <c r="K765" s="81">
        <v>114</v>
      </c>
      <c r="L765" s="81" t="s">
        <v>663</v>
      </c>
    </row>
    <row r="766" spans="1:12" ht="15" customHeight="1">
      <c r="A766" s="112">
        <v>11405866</v>
      </c>
      <c r="B766" s="112" t="s">
        <v>1911</v>
      </c>
      <c r="C766" s="81" t="s">
        <v>664</v>
      </c>
      <c r="D766" s="81">
        <v>800</v>
      </c>
      <c r="E766" s="81" t="s">
        <v>264</v>
      </c>
      <c r="F766" s="81">
        <v>5866</v>
      </c>
      <c r="G766" s="81" t="s">
        <v>282</v>
      </c>
      <c r="H766" s="81">
        <v>5965</v>
      </c>
      <c r="I766" s="81" t="s">
        <v>633</v>
      </c>
      <c r="J766" s="81">
        <v>3</v>
      </c>
      <c r="K766" s="81">
        <v>114</v>
      </c>
      <c r="L766" s="81" t="s">
        <v>663</v>
      </c>
    </row>
    <row r="767" spans="1:12" ht="15" customHeight="1">
      <c r="A767" s="112">
        <v>11405966</v>
      </c>
      <c r="B767" s="112" t="s">
        <v>1912</v>
      </c>
      <c r="C767" s="81" t="s">
        <v>664</v>
      </c>
      <c r="D767" s="81">
        <v>800</v>
      </c>
      <c r="E767" s="81" t="s">
        <v>264</v>
      </c>
      <c r="F767" s="81">
        <v>5966</v>
      </c>
      <c r="G767" s="81" t="s">
        <v>282</v>
      </c>
      <c r="H767" s="81">
        <v>6065</v>
      </c>
      <c r="I767" s="81" t="s">
        <v>634</v>
      </c>
      <c r="J767" s="81">
        <v>3</v>
      </c>
      <c r="K767" s="81">
        <v>114</v>
      </c>
      <c r="L767" s="81" t="s">
        <v>663</v>
      </c>
    </row>
    <row r="768" spans="1:12" ht="15" customHeight="1">
      <c r="A768" s="112">
        <v>11406066</v>
      </c>
      <c r="B768" s="112" t="s">
        <v>1913</v>
      </c>
      <c r="C768" s="81" t="s">
        <v>664</v>
      </c>
      <c r="D768" s="81">
        <v>800</v>
      </c>
      <c r="E768" s="81" t="s">
        <v>264</v>
      </c>
      <c r="F768" s="81">
        <v>6066</v>
      </c>
      <c r="G768" s="81" t="s">
        <v>282</v>
      </c>
      <c r="H768" s="81">
        <v>6165</v>
      </c>
      <c r="I768" s="81" t="s">
        <v>635</v>
      </c>
      <c r="J768" s="81">
        <v>4</v>
      </c>
      <c r="K768" s="81">
        <v>114</v>
      </c>
      <c r="L768" s="81" t="s">
        <v>663</v>
      </c>
    </row>
    <row r="769" spans="1:12" ht="15" customHeight="1">
      <c r="A769" s="112">
        <v>11406166</v>
      </c>
      <c r="B769" s="112" t="s">
        <v>1914</v>
      </c>
      <c r="C769" s="81" t="s">
        <v>664</v>
      </c>
      <c r="D769" s="81">
        <v>800</v>
      </c>
      <c r="E769" s="81" t="s">
        <v>264</v>
      </c>
      <c r="F769" s="81">
        <v>6166</v>
      </c>
      <c r="G769" s="81" t="s">
        <v>282</v>
      </c>
      <c r="H769" s="81">
        <v>6265</v>
      </c>
      <c r="I769" s="81" t="s">
        <v>636</v>
      </c>
      <c r="J769" s="81">
        <v>4</v>
      </c>
      <c r="K769" s="81">
        <v>114</v>
      </c>
      <c r="L769" s="81" t="s">
        <v>663</v>
      </c>
    </row>
    <row r="770" spans="1:12" ht="15" customHeight="1">
      <c r="A770" s="112">
        <v>11406266</v>
      </c>
      <c r="B770" s="112" t="s">
        <v>1915</v>
      </c>
      <c r="C770" s="81" t="s">
        <v>664</v>
      </c>
      <c r="D770" s="81">
        <v>800</v>
      </c>
      <c r="E770" s="81" t="s">
        <v>264</v>
      </c>
      <c r="F770" s="81">
        <v>6266</v>
      </c>
      <c r="G770" s="81" t="s">
        <v>282</v>
      </c>
      <c r="H770" s="81">
        <v>6365</v>
      </c>
      <c r="I770" s="81" t="s">
        <v>637</v>
      </c>
      <c r="J770" s="81">
        <v>4</v>
      </c>
      <c r="K770" s="81">
        <v>114</v>
      </c>
      <c r="L770" s="81" t="s">
        <v>663</v>
      </c>
    </row>
    <row r="771" spans="1:12" ht="15" customHeight="1">
      <c r="A771" s="112">
        <v>11406366</v>
      </c>
      <c r="B771" s="112" t="s">
        <v>1916</v>
      </c>
      <c r="C771" s="81" t="s">
        <v>664</v>
      </c>
      <c r="D771" s="81">
        <v>800</v>
      </c>
      <c r="E771" s="81" t="s">
        <v>264</v>
      </c>
      <c r="F771" s="81">
        <v>6366</v>
      </c>
      <c r="G771" s="81" t="s">
        <v>282</v>
      </c>
      <c r="H771" s="81">
        <v>6465</v>
      </c>
      <c r="I771" s="81" t="s">
        <v>638</v>
      </c>
      <c r="J771" s="81">
        <v>4</v>
      </c>
      <c r="K771" s="81">
        <v>114</v>
      </c>
      <c r="L771" s="81" t="s">
        <v>663</v>
      </c>
    </row>
    <row r="772" spans="1:12" ht="15" customHeight="1">
      <c r="A772" s="112">
        <v>11406466</v>
      </c>
      <c r="B772" s="112" t="s">
        <v>1917</v>
      </c>
      <c r="C772" s="81" t="s">
        <v>664</v>
      </c>
      <c r="D772" s="81">
        <v>800</v>
      </c>
      <c r="E772" s="81" t="s">
        <v>264</v>
      </c>
      <c r="F772" s="81">
        <v>6466</v>
      </c>
      <c r="G772" s="81" t="s">
        <v>282</v>
      </c>
      <c r="H772" s="81">
        <v>6565</v>
      </c>
      <c r="I772" s="81" t="s">
        <v>639</v>
      </c>
      <c r="J772" s="81">
        <v>4</v>
      </c>
      <c r="K772" s="81">
        <v>114</v>
      </c>
      <c r="L772" s="81" t="s">
        <v>663</v>
      </c>
    </row>
    <row r="773" spans="1:12" ht="15" customHeight="1">
      <c r="A773" s="112">
        <v>11406566</v>
      </c>
      <c r="B773" s="112" t="s">
        <v>1918</v>
      </c>
      <c r="C773" s="81" t="s">
        <v>664</v>
      </c>
      <c r="D773" s="81">
        <v>800</v>
      </c>
      <c r="E773" s="81" t="s">
        <v>264</v>
      </c>
      <c r="F773" s="81">
        <v>6566</v>
      </c>
      <c r="G773" s="81" t="s">
        <v>282</v>
      </c>
      <c r="H773" s="81">
        <v>6665</v>
      </c>
      <c r="I773" s="81" t="s">
        <v>640</v>
      </c>
      <c r="J773" s="81">
        <v>4</v>
      </c>
      <c r="K773" s="81">
        <v>114</v>
      </c>
      <c r="L773" s="81" t="s">
        <v>663</v>
      </c>
    </row>
    <row r="774" spans="1:12" ht="15" customHeight="1">
      <c r="A774" s="112">
        <v>11406666</v>
      </c>
      <c r="B774" s="112" t="s">
        <v>1919</v>
      </c>
      <c r="C774" s="81" t="s">
        <v>664</v>
      </c>
      <c r="D774" s="81">
        <v>800</v>
      </c>
      <c r="E774" s="81" t="s">
        <v>264</v>
      </c>
      <c r="F774" s="81">
        <v>6666</v>
      </c>
      <c r="G774" s="81" t="s">
        <v>282</v>
      </c>
      <c r="H774" s="81">
        <v>6765</v>
      </c>
      <c r="I774" s="81" t="s">
        <v>641</v>
      </c>
      <c r="J774" s="81">
        <v>4</v>
      </c>
      <c r="K774" s="81">
        <v>114</v>
      </c>
      <c r="L774" s="81" t="s">
        <v>663</v>
      </c>
    </row>
    <row r="775" spans="1:12" ht="15" customHeight="1">
      <c r="A775" s="112">
        <v>11406766</v>
      </c>
      <c r="B775" s="112" t="s">
        <v>1920</v>
      </c>
      <c r="C775" s="81" t="s">
        <v>664</v>
      </c>
      <c r="D775" s="81">
        <v>800</v>
      </c>
      <c r="E775" s="81" t="s">
        <v>264</v>
      </c>
      <c r="F775" s="81">
        <v>6766</v>
      </c>
      <c r="G775" s="81" t="s">
        <v>282</v>
      </c>
      <c r="H775" s="81">
        <v>6865</v>
      </c>
      <c r="I775" s="81" t="s">
        <v>642</v>
      </c>
      <c r="J775" s="81">
        <v>4</v>
      </c>
      <c r="K775" s="81">
        <v>114</v>
      </c>
      <c r="L775" s="81" t="s">
        <v>663</v>
      </c>
    </row>
    <row r="776" spans="1:12" ht="15" customHeight="1">
      <c r="A776" s="112">
        <v>11406866</v>
      </c>
      <c r="B776" s="112" t="s">
        <v>1921</v>
      </c>
      <c r="C776" s="81" t="s">
        <v>664</v>
      </c>
      <c r="D776" s="81">
        <v>800</v>
      </c>
      <c r="E776" s="81" t="s">
        <v>264</v>
      </c>
      <c r="F776" s="81">
        <v>6866</v>
      </c>
      <c r="G776" s="81" t="s">
        <v>282</v>
      </c>
      <c r="H776" s="81">
        <v>6965</v>
      </c>
      <c r="I776" s="81" t="s">
        <v>643</v>
      </c>
      <c r="J776" s="81">
        <v>5</v>
      </c>
      <c r="K776" s="81">
        <v>114</v>
      </c>
      <c r="L776" s="81" t="s">
        <v>663</v>
      </c>
    </row>
    <row r="777" spans="1:12" ht="15" customHeight="1">
      <c r="A777" s="112">
        <v>11406966</v>
      </c>
      <c r="B777" s="112" t="s">
        <v>1922</v>
      </c>
      <c r="C777" s="81" t="s">
        <v>664</v>
      </c>
      <c r="D777" s="81">
        <v>800</v>
      </c>
      <c r="E777" s="81" t="s">
        <v>264</v>
      </c>
      <c r="F777" s="81">
        <v>6966</v>
      </c>
      <c r="G777" s="81" t="s">
        <v>282</v>
      </c>
      <c r="H777" s="81">
        <v>7065</v>
      </c>
      <c r="I777" s="81" t="s">
        <v>644</v>
      </c>
      <c r="J777" s="81">
        <v>5</v>
      </c>
      <c r="K777" s="81">
        <v>114</v>
      </c>
      <c r="L777" s="81" t="s">
        <v>663</v>
      </c>
    </row>
    <row r="778" spans="1:12" ht="15" customHeight="1">
      <c r="A778" s="112">
        <v>11407066</v>
      </c>
      <c r="B778" s="112" t="s">
        <v>1923</v>
      </c>
      <c r="C778" s="81" t="s">
        <v>664</v>
      </c>
      <c r="D778" s="81">
        <v>800</v>
      </c>
      <c r="E778" s="81" t="s">
        <v>264</v>
      </c>
      <c r="F778" s="81">
        <v>7066</v>
      </c>
      <c r="G778" s="81" t="s">
        <v>282</v>
      </c>
      <c r="H778" s="81">
        <v>7165</v>
      </c>
      <c r="I778" s="81" t="s">
        <v>645</v>
      </c>
      <c r="J778" s="81">
        <v>5</v>
      </c>
      <c r="K778" s="81">
        <v>114</v>
      </c>
      <c r="L778" s="81" t="s">
        <v>663</v>
      </c>
    </row>
    <row r="779" spans="1:12" ht="15" customHeight="1">
      <c r="A779" s="112">
        <v>11407166</v>
      </c>
      <c r="B779" s="112" t="s">
        <v>1924</v>
      </c>
      <c r="C779" s="81" t="s">
        <v>664</v>
      </c>
      <c r="D779" s="81">
        <v>800</v>
      </c>
      <c r="E779" s="81" t="s">
        <v>264</v>
      </c>
      <c r="F779" s="81">
        <v>7166</v>
      </c>
      <c r="G779" s="81" t="s">
        <v>282</v>
      </c>
      <c r="H779" s="81">
        <v>7265</v>
      </c>
      <c r="I779" s="81" t="s">
        <v>646</v>
      </c>
      <c r="J779" s="81">
        <v>5</v>
      </c>
      <c r="K779" s="81">
        <v>114</v>
      </c>
      <c r="L779" s="81" t="s">
        <v>663</v>
      </c>
    </row>
    <row r="780" spans="1:12" ht="15" customHeight="1">
      <c r="A780" s="112">
        <v>11407266</v>
      </c>
      <c r="B780" s="112" t="s">
        <v>1925</v>
      </c>
      <c r="C780" s="81" t="s">
        <v>664</v>
      </c>
      <c r="D780" s="81">
        <v>800</v>
      </c>
      <c r="E780" s="81" t="s">
        <v>264</v>
      </c>
      <c r="F780" s="81">
        <v>7266</v>
      </c>
      <c r="G780" s="81" t="s">
        <v>282</v>
      </c>
      <c r="H780" s="81">
        <v>7365</v>
      </c>
      <c r="I780" s="81" t="s">
        <v>647</v>
      </c>
      <c r="J780" s="81">
        <v>5</v>
      </c>
      <c r="K780" s="81">
        <v>114</v>
      </c>
      <c r="L780" s="81" t="s">
        <v>663</v>
      </c>
    </row>
    <row r="781" spans="1:12" ht="15" customHeight="1">
      <c r="A781" s="112">
        <v>11407366</v>
      </c>
      <c r="B781" s="112" t="s">
        <v>1926</v>
      </c>
      <c r="C781" s="81" t="s">
        <v>664</v>
      </c>
      <c r="D781" s="81">
        <v>800</v>
      </c>
      <c r="E781" s="81" t="s">
        <v>264</v>
      </c>
      <c r="F781" s="81">
        <v>7366</v>
      </c>
      <c r="G781" s="81" t="s">
        <v>282</v>
      </c>
      <c r="H781" s="81">
        <v>7465</v>
      </c>
      <c r="I781" s="81" t="s">
        <v>648</v>
      </c>
      <c r="J781" s="81">
        <v>5</v>
      </c>
      <c r="K781" s="81">
        <v>114</v>
      </c>
      <c r="L781" s="81" t="s">
        <v>663</v>
      </c>
    </row>
    <row r="782" spans="1:12" ht="15" customHeight="1">
      <c r="A782" s="112">
        <v>11407466</v>
      </c>
      <c r="B782" s="112" t="s">
        <v>1927</v>
      </c>
      <c r="C782" s="81" t="s">
        <v>664</v>
      </c>
      <c r="D782" s="81">
        <v>800</v>
      </c>
      <c r="E782" s="81" t="s">
        <v>264</v>
      </c>
      <c r="F782" s="81">
        <v>7466</v>
      </c>
      <c r="G782" s="81" t="s">
        <v>282</v>
      </c>
      <c r="H782" s="81">
        <v>7565</v>
      </c>
      <c r="I782" s="81" t="s">
        <v>649</v>
      </c>
      <c r="J782" s="81">
        <v>5</v>
      </c>
      <c r="K782" s="81">
        <v>114</v>
      </c>
      <c r="L782" s="81" t="s">
        <v>663</v>
      </c>
    </row>
    <row r="783" spans="1:12" ht="15" customHeight="1">
      <c r="A783" s="112">
        <v>11407566</v>
      </c>
      <c r="B783" s="112" t="s">
        <v>1928</v>
      </c>
      <c r="C783" s="81" t="s">
        <v>664</v>
      </c>
      <c r="D783" s="81">
        <v>800</v>
      </c>
      <c r="E783" s="81" t="s">
        <v>264</v>
      </c>
      <c r="F783" s="81">
        <v>7566</v>
      </c>
      <c r="G783" s="81" t="s">
        <v>282</v>
      </c>
      <c r="H783" s="81">
        <v>7665</v>
      </c>
      <c r="I783" s="81" t="s">
        <v>650</v>
      </c>
      <c r="J783" s="81">
        <v>5</v>
      </c>
      <c r="K783" s="81">
        <v>114</v>
      </c>
      <c r="L783" s="81" t="s">
        <v>663</v>
      </c>
    </row>
    <row r="784" spans="1:12" ht="15" customHeight="1">
      <c r="A784" s="112">
        <v>11407666</v>
      </c>
      <c r="B784" s="112" t="s">
        <v>1929</v>
      </c>
      <c r="C784" s="81" t="s">
        <v>664</v>
      </c>
      <c r="D784" s="81">
        <v>800</v>
      </c>
      <c r="E784" s="81" t="s">
        <v>264</v>
      </c>
      <c r="F784" s="81">
        <v>7666</v>
      </c>
      <c r="G784" s="81" t="s">
        <v>282</v>
      </c>
      <c r="H784" s="81">
        <v>7765</v>
      </c>
      <c r="I784" s="81" t="s">
        <v>651</v>
      </c>
      <c r="J784" s="81">
        <v>6</v>
      </c>
      <c r="K784" s="81">
        <v>114</v>
      </c>
      <c r="L784" s="81" t="s">
        <v>663</v>
      </c>
    </row>
    <row r="785" spans="1:12" ht="15" customHeight="1">
      <c r="A785" s="112">
        <v>11407766</v>
      </c>
      <c r="B785" s="112" t="s">
        <v>1930</v>
      </c>
      <c r="C785" s="81" t="s">
        <v>664</v>
      </c>
      <c r="D785" s="81">
        <v>800</v>
      </c>
      <c r="E785" s="81" t="s">
        <v>264</v>
      </c>
      <c r="F785" s="81">
        <v>7766</v>
      </c>
      <c r="G785" s="81" t="s">
        <v>282</v>
      </c>
      <c r="H785" s="81">
        <v>7865</v>
      </c>
      <c r="I785" s="81" t="s">
        <v>652</v>
      </c>
      <c r="J785" s="81">
        <v>6</v>
      </c>
      <c r="K785" s="81">
        <v>114</v>
      </c>
      <c r="L785" s="81" t="s">
        <v>663</v>
      </c>
    </row>
    <row r="786" spans="1:12" ht="15" customHeight="1">
      <c r="A786" s="112">
        <v>11407866</v>
      </c>
      <c r="B786" s="112" t="s">
        <v>1931</v>
      </c>
      <c r="C786" s="81" t="s">
        <v>664</v>
      </c>
      <c r="D786" s="81">
        <v>800</v>
      </c>
      <c r="E786" s="81" t="s">
        <v>264</v>
      </c>
      <c r="F786" s="81">
        <v>7866</v>
      </c>
      <c r="G786" s="81" t="s">
        <v>282</v>
      </c>
      <c r="H786" s="81">
        <v>7965</v>
      </c>
      <c r="I786" s="81" t="s">
        <v>653</v>
      </c>
      <c r="J786" s="81">
        <v>6</v>
      </c>
      <c r="K786" s="81">
        <v>114</v>
      </c>
      <c r="L786" s="81" t="s">
        <v>663</v>
      </c>
    </row>
    <row r="787" spans="1:12" ht="15" customHeight="1">
      <c r="A787" s="112">
        <v>11407966</v>
      </c>
      <c r="B787" s="112" t="s">
        <v>1932</v>
      </c>
      <c r="C787" s="81" t="s">
        <v>664</v>
      </c>
      <c r="D787" s="81">
        <v>800</v>
      </c>
      <c r="E787" s="81" t="s">
        <v>264</v>
      </c>
      <c r="F787" s="81">
        <v>7966</v>
      </c>
      <c r="G787" s="81" t="s">
        <v>282</v>
      </c>
      <c r="H787" s="81">
        <v>8065</v>
      </c>
      <c r="I787" s="81" t="s">
        <v>654</v>
      </c>
      <c r="J787" s="81">
        <v>6</v>
      </c>
      <c r="K787" s="81">
        <v>114</v>
      </c>
      <c r="L787" s="81" t="s">
        <v>663</v>
      </c>
    </row>
    <row r="788" spans="1:12" ht="15" customHeight="1">
      <c r="A788" s="112">
        <v>11500000</v>
      </c>
      <c r="B788" s="112" t="s">
        <v>1933</v>
      </c>
      <c r="C788" s="81" t="s">
        <v>664</v>
      </c>
      <c r="D788" s="81">
        <v>900</v>
      </c>
      <c r="E788" s="81" t="s">
        <v>596</v>
      </c>
      <c r="F788" s="81">
        <v>0</v>
      </c>
      <c r="G788" s="81" t="s">
        <v>282</v>
      </c>
      <c r="H788" s="81">
        <v>2640</v>
      </c>
      <c r="I788" s="81" t="s">
        <v>597</v>
      </c>
      <c r="J788" s="81">
        <v>0</v>
      </c>
      <c r="K788" s="81">
        <v>115</v>
      </c>
      <c r="L788" s="81" t="s">
        <v>663</v>
      </c>
    </row>
    <row r="789" spans="1:12" ht="15" customHeight="1">
      <c r="A789" s="112">
        <v>11502641</v>
      </c>
      <c r="B789" s="112" t="s">
        <v>1934</v>
      </c>
      <c r="C789" s="81" t="s">
        <v>664</v>
      </c>
      <c r="D789" s="81">
        <v>900</v>
      </c>
      <c r="E789" s="81" t="s">
        <v>596</v>
      </c>
      <c r="F789" s="81">
        <v>2641</v>
      </c>
      <c r="G789" s="81" t="s">
        <v>282</v>
      </c>
      <c r="H789" s="81">
        <v>2715</v>
      </c>
      <c r="I789" s="81" t="s">
        <v>599</v>
      </c>
      <c r="J789" s="81">
        <v>0</v>
      </c>
      <c r="K789" s="81">
        <v>115</v>
      </c>
      <c r="L789" s="81" t="s">
        <v>663</v>
      </c>
    </row>
    <row r="790" spans="1:12" ht="15" customHeight="1">
      <c r="A790" s="112">
        <v>11502716</v>
      </c>
      <c r="B790" s="112" t="s">
        <v>1935</v>
      </c>
      <c r="C790" s="81" t="s">
        <v>664</v>
      </c>
      <c r="D790" s="81">
        <v>900</v>
      </c>
      <c r="E790" s="81" t="s">
        <v>596</v>
      </c>
      <c r="F790" s="81">
        <v>2716</v>
      </c>
      <c r="G790" s="81" t="s">
        <v>282</v>
      </c>
      <c r="H790" s="81">
        <v>2765</v>
      </c>
      <c r="I790" s="81" t="s">
        <v>600</v>
      </c>
      <c r="J790" s="81">
        <v>0</v>
      </c>
      <c r="K790" s="81">
        <v>115</v>
      </c>
      <c r="L790" s="81" t="s">
        <v>663</v>
      </c>
    </row>
    <row r="791" spans="1:12" ht="15" customHeight="1">
      <c r="A791" s="112">
        <v>11502766</v>
      </c>
      <c r="B791" s="112" t="s">
        <v>1936</v>
      </c>
      <c r="C791" s="81" t="s">
        <v>664</v>
      </c>
      <c r="D791" s="81">
        <v>900</v>
      </c>
      <c r="E791" s="81" t="s">
        <v>596</v>
      </c>
      <c r="F791" s="81">
        <v>2766</v>
      </c>
      <c r="G791" s="81" t="s">
        <v>282</v>
      </c>
      <c r="H791" s="81">
        <v>2865</v>
      </c>
      <c r="I791" s="81" t="s">
        <v>602</v>
      </c>
      <c r="J791" s="81">
        <v>0</v>
      </c>
      <c r="K791" s="81">
        <v>115</v>
      </c>
      <c r="L791" s="81" t="s">
        <v>663</v>
      </c>
    </row>
    <row r="792" spans="1:12" ht="15" customHeight="1">
      <c r="A792" s="112">
        <v>11502866</v>
      </c>
      <c r="B792" s="112" t="s">
        <v>1937</v>
      </c>
      <c r="C792" s="81" t="s">
        <v>664</v>
      </c>
      <c r="D792" s="81">
        <v>900</v>
      </c>
      <c r="E792" s="81" t="s">
        <v>596</v>
      </c>
      <c r="F792" s="81">
        <v>2866</v>
      </c>
      <c r="G792" s="81" t="s">
        <v>282</v>
      </c>
      <c r="H792" s="81">
        <v>2965</v>
      </c>
      <c r="I792" s="81" t="s">
        <v>603</v>
      </c>
      <c r="J792" s="81">
        <v>0</v>
      </c>
      <c r="K792" s="81">
        <v>115</v>
      </c>
      <c r="L792" s="81" t="s">
        <v>663</v>
      </c>
    </row>
    <row r="793" spans="1:12" ht="15" customHeight="1">
      <c r="A793" s="112">
        <v>11502966</v>
      </c>
      <c r="B793" s="112" t="s">
        <v>1938</v>
      </c>
      <c r="C793" s="81" t="s">
        <v>664</v>
      </c>
      <c r="D793" s="81">
        <v>900</v>
      </c>
      <c r="E793" s="81" t="s">
        <v>596</v>
      </c>
      <c r="F793" s="81">
        <v>2966</v>
      </c>
      <c r="G793" s="81" t="s">
        <v>282</v>
      </c>
      <c r="H793" s="81">
        <v>3065</v>
      </c>
      <c r="I793" s="81" t="s">
        <v>604</v>
      </c>
      <c r="J793" s="81">
        <v>0</v>
      </c>
      <c r="K793" s="81">
        <v>115</v>
      </c>
      <c r="L793" s="81" t="s">
        <v>663</v>
      </c>
    </row>
    <row r="794" spans="1:12" ht="15" customHeight="1">
      <c r="A794" s="112">
        <v>11503066</v>
      </c>
      <c r="B794" s="112" t="s">
        <v>1939</v>
      </c>
      <c r="C794" s="81" t="s">
        <v>664</v>
      </c>
      <c r="D794" s="81">
        <v>900</v>
      </c>
      <c r="E794" s="81" t="s">
        <v>596</v>
      </c>
      <c r="F794" s="81">
        <v>3066</v>
      </c>
      <c r="G794" s="81" t="s">
        <v>282</v>
      </c>
      <c r="H794" s="81">
        <v>3165</v>
      </c>
      <c r="I794" s="81" t="s">
        <v>605</v>
      </c>
      <c r="J794" s="81">
        <v>0</v>
      </c>
      <c r="K794" s="81">
        <v>115</v>
      </c>
      <c r="L794" s="81" t="s">
        <v>663</v>
      </c>
    </row>
    <row r="795" spans="1:12" ht="15" customHeight="1">
      <c r="A795" s="112">
        <v>11503166</v>
      </c>
      <c r="B795" s="112" t="s">
        <v>1940</v>
      </c>
      <c r="C795" s="81" t="s">
        <v>664</v>
      </c>
      <c r="D795" s="81">
        <v>900</v>
      </c>
      <c r="E795" s="81" t="s">
        <v>596</v>
      </c>
      <c r="F795" s="81">
        <v>3166</v>
      </c>
      <c r="G795" s="81" t="s">
        <v>282</v>
      </c>
      <c r="H795" s="81">
        <v>3265</v>
      </c>
      <c r="I795" s="81" t="s">
        <v>606</v>
      </c>
      <c r="J795" s="81">
        <v>0</v>
      </c>
      <c r="K795" s="81">
        <v>115</v>
      </c>
      <c r="L795" s="81" t="s">
        <v>663</v>
      </c>
    </row>
    <row r="796" spans="1:12" ht="15" customHeight="1">
      <c r="A796" s="112">
        <v>11503266</v>
      </c>
      <c r="B796" s="112" t="s">
        <v>1941</v>
      </c>
      <c r="C796" s="81" t="s">
        <v>664</v>
      </c>
      <c r="D796" s="81">
        <v>900</v>
      </c>
      <c r="E796" s="81" t="s">
        <v>596</v>
      </c>
      <c r="F796" s="81">
        <v>3266</v>
      </c>
      <c r="G796" s="81" t="s">
        <v>282</v>
      </c>
      <c r="H796" s="81">
        <v>3365</v>
      </c>
      <c r="I796" s="81" t="s">
        <v>607</v>
      </c>
      <c r="J796" s="81">
        <v>0</v>
      </c>
      <c r="K796" s="81">
        <v>115</v>
      </c>
      <c r="L796" s="81" t="s">
        <v>663</v>
      </c>
    </row>
    <row r="797" spans="1:12" ht="15" customHeight="1">
      <c r="A797" s="112">
        <v>11503366</v>
      </c>
      <c r="B797" s="112" t="s">
        <v>1942</v>
      </c>
      <c r="C797" s="81" t="s">
        <v>664</v>
      </c>
      <c r="D797" s="81">
        <v>900</v>
      </c>
      <c r="E797" s="81" t="s">
        <v>596</v>
      </c>
      <c r="F797" s="81">
        <v>3366</v>
      </c>
      <c r="G797" s="81" t="s">
        <v>282</v>
      </c>
      <c r="H797" s="81">
        <v>3465</v>
      </c>
      <c r="I797" s="81" t="s">
        <v>608</v>
      </c>
      <c r="J797" s="81">
        <v>0</v>
      </c>
      <c r="K797" s="81">
        <v>115</v>
      </c>
      <c r="L797" s="81" t="s">
        <v>663</v>
      </c>
    </row>
    <row r="798" spans="1:12" ht="15" customHeight="1">
      <c r="A798" s="112">
        <v>11503466</v>
      </c>
      <c r="B798" s="112" t="s">
        <v>1943</v>
      </c>
      <c r="C798" s="81" t="s">
        <v>664</v>
      </c>
      <c r="D798" s="81">
        <v>900</v>
      </c>
      <c r="E798" s="81" t="s">
        <v>596</v>
      </c>
      <c r="F798" s="81">
        <v>3466</v>
      </c>
      <c r="G798" s="81" t="s">
        <v>282</v>
      </c>
      <c r="H798" s="81">
        <v>3565</v>
      </c>
      <c r="I798" s="81" t="s">
        <v>609</v>
      </c>
      <c r="J798" s="81">
        <v>0</v>
      </c>
      <c r="K798" s="81">
        <v>115</v>
      </c>
      <c r="L798" s="81" t="s">
        <v>663</v>
      </c>
    </row>
    <row r="799" spans="1:12" ht="15" customHeight="1">
      <c r="A799" s="112">
        <v>11503566</v>
      </c>
      <c r="B799" s="112" t="s">
        <v>1944</v>
      </c>
      <c r="C799" s="81" t="s">
        <v>664</v>
      </c>
      <c r="D799" s="81">
        <v>900</v>
      </c>
      <c r="E799" s="81" t="s">
        <v>596</v>
      </c>
      <c r="F799" s="81">
        <v>3566</v>
      </c>
      <c r="G799" s="81" t="s">
        <v>282</v>
      </c>
      <c r="H799" s="81">
        <v>3665</v>
      </c>
      <c r="I799" s="81" t="s">
        <v>610</v>
      </c>
      <c r="J799" s="81">
        <v>0</v>
      </c>
      <c r="K799" s="81">
        <v>115</v>
      </c>
      <c r="L799" s="81" t="s">
        <v>663</v>
      </c>
    </row>
    <row r="800" spans="1:12" ht="15" customHeight="1">
      <c r="A800" s="112">
        <v>11503666</v>
      </c>
      <c r="B800" s="112" t="s">
        <v>1945</v>
      </c>
      <c r="C800" s="81" t="s">
        <v>664</v>
      </c>
      <c r="D800" s="81">
        <v>900</v>
      </c>
      <c r="E800" s="81" t="s">
        <v>596</v>
      </c>
      <c r="F800" s="81">
        <v>3666</v>
      </c>
      <c r="G800" s="81" t="s">
        <v>282</v>
      </c>
      <c r="H800" s="81">
        <v>3765</v>
      </c>
      <c r="I800" s="81" t="s">
        <v>611</v>
      </c>
      <c r="J800" s="81">
        <v>1</v>
      </c>
      <c r="K800" s="81">
        <v>115</v>
      </c>
      <c r="L800" s="81" t="s">
        <v>663</v>
      </c>
    </row>
    <row r="801" spans="1:12" ht="15" customHeight="1">
      <c r="A801" s="112">
        <v>11503766</v>
      </c>
      <c r="B801" s="112" t="s">
        <v>1946</v>
      </c>
      <c r="C801" s="81" t="s">
        <v>664</v>
      </c>
      <c r="D801" s="81">
        <v>900</v>
      </c>
      <c r="E801" s="81" t="s">
        <v>596</v>
      </c>
      <c r="F801" s="81">
        <v>3766</v>
      </c>
      <c r="G801" s="81" t="s">
        <v>282</v>
      </c>
      <c r="H801" s="81">
        <v>3865</v>
      </c>
      <c r="I801" s="81" t="s">
        <v>612</v>
      </c>
      <c r="J801" s="81">
        <v>1</v>
      </c>
      <c r="K801" s="81">
        <v>115</v>
      </c>
      <c r="L801" s="81" t="s">
        <v>663</v>
      </c>
    </row>
    <row r="802" spans="1:12" ht="15" customHeight="1">
      <c r="A802" s="112">
        <v>11503866</v>
      </c>
      <c r="B802" s="112" t="s">
        <v>1947</v>
      </c>
      <c r="C802" s="81" t="s">
        <v>664</v>
      </c>
      <c r="D802" s="81">
        <v>900</v>
      </c>
      <c r="E802" s="81" t="s">
        <v>596</v>
      </c>
      <c r="F802" s="81">
        <v>3866</v>
      </c>
      <c r="G802" s="81" t="s">
        <v>282</v>
      </c>
      <c r="H802" s="81">
        <v>3965</v>
      </c>
      <c r="I802" s="81" t="s">
        <v>613</v>
      </c>
      <c r="J802" s="81">
        <v>1</v>
      </c>
      <c r="K802" s="81">
        <v>115</v>
      </c>
      <c r="L802" s="81" t="s">
        <v>663</v>
      </c>
    </row>
    <row r="803" spans="1:12" ht="15" customHeight="1">
      <c r="A803" s="112">
        <v>11503966</v>
      </c>
      <c r="B803" s="112" t="s">
        <v>1948</v>
      </c>
      <c r="C803" s="81" t="s">
        <v>664</v>
      </c>
      <c r="D803" s="81">
        <v>900</v>
      </c>
      <c r="E803" s="81" t="s">
        <v>596</v>
      </c>
      <c r="F803" s="81">
        <v>3966</v>
      </c>
      <c r="G803" s="81" t="s">
        <v>282</v>
      </c>
      <c r="H803" s="81">
        <v>4065</v>
      </c>
      <c r="I803" s="81" t="s">
        <v>614</v>
      </c>
      <c r="J803" s="81">
        <v>1</v>
      </c>
      <c r="K803" s="81">
        <v>115</v>
      </c>
      <c r="L803" s="81" t="s">
        <v>663</v>
      </c>
    </row>
    <row r="804" spans="1:12" ht="15" customHeight="1">
      <c r="A804" s="112">
        <v>11504066</v>
      </c>
      <c r="B804" s="112" t="s">
        <v>1949</v>
      </c>
      <c r="C804" s="81" t="s">
        <v>664</v>
      </c>
      <c r="D804" s="81">
        <v>900</v>
      </c>
      <c r="E804" s="81" t="s">
        <v>596</v>
      </c>
      <c r="F804" s="81">
        <v>4066</v>
      </c>
      <c r="G804" s="81" t="s">
        <v>282</v>
      </c>
      <c r="H804" s="81">
        <v>4165</v>
      </c>
      <c r="I804" s="81" t="s">
        <v>615</v>
      </c>
      <c r="J804" s="81">
        <v>1</v>
      </c>
      <c r="K804" s="81">
        <v>115</v>
      </c>
      <c r="L804" s="81" t="s">
        <v>663</v>
      </c>
    </row>
    <row r="805" spans="1:12" ht="15" customHeight="1">
      <c r="A805" s="112">
        <v>11504166</v>
      </c>
      <c r="B805" s="112" t="s">
        <v>1950</v>
      </c>
      <c r="C805" s="81" t="s">
        <v>664</v>
      </c>
      <c r="D805" s="81">
        <v>900</v>
      </c>
      <c r="E805" s="81" t="s">
        <v>596</v>
      </c>
      <c r="F805" s="81">
        <v>4166</v>
      </c>
      <c r="G805" s="81" t="s">
        <v>282</v>
      </c>
      <c r="H805" s="81">
        <v>4265</v>
      </c>
      <c r="I805" s="81" t="s">
        <v>616</v>
      </c>
      <c r="J805" s="81">
        <v>1</v>
      </c>
      <c r="K805" s="81">
        <v>115</v>
      </c>
      <c r="L805" s="81" t="s">
        <v>663</v>
      </c>
    </row>
    <row r="806" spans="1:12" ht="15" customHeight="1">
      <c r="A806" s="112">
        <v>11504266</v>
      </c>
      <c r="B806" s="112" t="s">
        <v>1951</v>
      </c>
      <c r="C806" s="81" t="s">
        <v>664</v>
      </c>
      <c r="D806" s="81">
        <v>900</v>
      </c>
      <c r="E806" s="81" t="s">
        <v>596</v>
      </c>
      <c r="F806" s="81">
        <v>4266</v>
      </c>
      <c r="G806" s="81" t="s">
        <v>282</v>
      </c>
      <c r="H806" s="81">
        <v>4365</v>
      </c>
      <c r="I806" s="81" t="s">
        <v>617</v>
      </c>
      <c r="J806" s="81">
        <v>1</v>
      </c>
      <c r="K806" s="81">
        <v>115</v>
      </c>
      <c r="L806" s="81" t="s">
        <v>663</v>
      </c>
    </row>
    <row r="807" spans="1:12" ht="15" customHeight="1">
      <c r="A807" s="112">
        <v>11504366</v>
      </c>
      <c r="B807" s="112" t="s">
        <v>1952</v>
      </c>
      <c r="C807" s="81" t="s">
        <v>664</v>
      </c>
      <c r="D807" s="81">
        <v>900</v>
      </c>
      <c r="E807" s="81" t="s">
        <v>596</v>
      </c>
      <c r="F807" s="81">
        <v>4366</v>
      </c>
      <c r="G807" s="81" t="s">
        <v>282</v>
      </c>
      <c r="H807" s="81">
        <v>4465</v>
      </c>
      <c r="I807" s="81" t="s">
        <v>618</v>
      </c>
      <c r="J807" s="81">
        <v>1</v>
      </c>
      <c r="K807" s="81">
        <v>115</v>
      </c>
      <c r="L807" s="81" t="s">
        <v>663</v>
      </c>
    </row>
    <row r="808" spans="1:12" ht="15" customHeight="1">
      <c r="A808" s="112">
        <v>11504466</v>
      </c>
      <c r="B808" s="112" t="s">
        <v>1953</v>
      </c>
      <c r="C808" s="81" t="s">
        <v>664</v>
      </c>
      <c r="D808" s="81">
        <v>900</v>
      </c>
      <c r="E808" s="81" t="s">
        <v>596</v>
      </c>
      <c r="F808" s="81">
        <v>4466</v>
      </c>
      <c r="G808" s="81" t="s">
        <v>282</v>
      </c>
      <c r="H808" s="81">
        <v>4565</v>
      </c>
      <c r="I808" s="81" t="s">
        <v>619</v>
      </c>
      <c r="J808" s="81">
        <v>2</v>
      </c>
      <c r="K808" s="81">
        <v>115</v>
      </c>
      <c r="L808" s="81" t="s">
        <v>663</v>
      </c>
    </row>
    <row r="809" spans="1:12" ht="15" customHeight="1">
      <c r="A809" s="112">
        <v>11504566</v>
      </c>
      <c r="B809" s="112" t="s">
        <v>1954</v>
      </c>
      <c r="C809" s="81" t="s">
        <v>664</v>
      </c>
      <c r="D809" s="81">
        <v>900</v>
      </c>
      <c r="E809" s="81" t="s">
        <v>596</v>
      </c>
      <c r="F809" s="81">
        <v>4566</v>
      </c>
      <c r="G809" s="81" t="s">
        <v>282</v>
      </c>
      <c r="H809" s="81">
        <v>4665</v>
      </c>
      <c r="I809" s="81" t="s">
        <v>620</v>
      </c>
      <c r="J809" s="81">
        <v>2</v>
      </c>
      <c r="K809" s="81">
        <v>115</v>
      </c>
      <c r="L809" s="81" t="s">
        <v>663</v>
      </c>
    </row>
    <row r="810" spans="1:12" ht="15" customHeight="1">
      <c r="A810" s="112">
        <v>11504666</v>
      </c>
      <c r="B810" s="112" t="s">
        <v>1955</v>
      </c>
      <c r="C810" s="81" t="s">
        <v>664</v>
      </c>
      <c r="D810" s="81">
        <v>900</v>
      </c>
      <c r="E810" s="81" t="s">
        <v>596</v>
      </c>
      <c r="F810" s="81">
        <v>4666</v>
      </c>
      <c r="G810" s="81" t="s">
        <v>282</v>
      </c>
      <c r="H810" s="81">
        <v>4765</v>
      </c>
      <c r="I810" s="81" t="s">
        <v>621</v>
      </c>
      <c r="J810" s="81">
        <v>2</v>
      </c>
      <c r="K810" s="81">
        <v>115</v>
      </c>
      <c r="L810" s="81" t="s">
        <v>663</v>
      </c>
    </row>
    <row r="811" spans="1:12" ht="15" customHeight="1">
      <c r="A811" s="112">
        <v>11504766</v>
      </c>
      <c r="B811" s="112" t="s">
        <v>1956</v>
      </c>
      <c r="C811" s="81" t="s">
        <v>664</v>
      </c>
      <c r="D811" s="81">
        <v>900</v>
      </c>
      <c r="E811" s="81" t="s">
        <v>596</v>
      </c>
      <c r="F811" s="81">
        <v>4766</v>
      </c>
      <c r="G811" s="81" t="s">
        <v>282</v>
      </c>
      <c r="H811" s="81">
        <v>4865</v>
      </c>
      <c r="I811" s="81" t="s">
        <v>622</v>
      </c>
      <c r="J811" s="81">
        <v>2</v>
      </c>
      <c r="K811" s="81">
        <v>115</v>
      </c>
      <c r="L811" s="81" t="s">
        <v>663</v>
      </c>
    </row>
    <row r="812" spans="1:12" ht="15" customHeight="1">
      <c r="A812" s="112">
        <v>11504866</v>
      </c>
      <c r="B812" s="112" t="s">
        <v>1957</v>
      </c>
      <c r="C812" s="81" t="s">
        <v>664</v>
      </c>
      <c r="D812" s="81">
        <v>900</v>
      </c>
      <c r="E812" s="81" t="s">
        <v>596</v>
      </c>
      <c r="F812" s="81">
        <v>4866</v>
      </c>
      <c r="G812" s="81" t="s">
        <v>282</v>
      </c>
      <c r="H812" s="81">
        <v>4965</v>
      </c>
      <c r="I812" s="81" t="s">
        <v>623</v>
      </c>
      <c r="J812" s="81">
        <v>2</v>
      </c>
      <c r="K812" s="81">
        <v>115</v>
      </c>
      <c r="L812" s="81" t="s">
        <v>663</v>
      </c>
    </row>
    <row r="813" spans="1:12" ht="15" customHeight="1">
      <c r="A813" s="112">
        <v>11504966</v>
      </c>
      <c r="B813" s="112" t="s">
        <v>1958</v>
      </c>
      <c r="C813" s="81" t="s">
        <v>664</v>
      </c>
      <c r="D813" s="81">
        <v>900</v>
      </c>
      <c r="E813" s="81" t="s">
        <v>596</v>
      </c>
      <c r="F813" s="81">
        <v>4966</v>
      </c>
      <c r="G813" s="81" t="s">
        <v>282</v>
      </c>
      <c r="H813" s="81">
        <v>5065</v>
      </c>
      <c r="I813" s="81" t="s">
        <v>624</v>
      </c>
      <c r="J813" s="81">
        <v>2</v>
      </c>
      <c r="K813" s="81">
        <v>115</v>
      </c>
      <c r="L813" s="81" t="s">
        <v>663</v>
      </c>
    </row>
    <row r="814" spans="1:12" ht="15" customHeight="1">
      <c r="A814" s="112">
        <v>11505066</v>
      </c>
      <c r="B814" s="112" t="s">
        <v>1959</v>
      </c>
      <c r="C814" s="81" t="s">
        <v>664</v>
      </c>
      <c r="D814" s="81">
        <v>900</v>
      </c>
      <c r="E814" s="81" t="s">
        <v>596</v>
      </c>
      <c r="F814" s="81">
        <v>5066</v>
      </c>
      <c r="G814" s="81" t="s">
        <v>282</v>
      </c>
      <c r="H814" s="81">
        <v>5165</v>
      </c>
      <c r="I814" s="81" t="s">
        <v>625</v>
      </c>
      <c r="J814" s="81">
        <v>2</v>
      </c>
      <c r="K814" s="81">
        <v>115</v>
      </c>
      <c r="L814" s="81" t="s">
        <v>663</v>
      </c>
    </row>
    <row r="815" spans="1:12" ht="15" customHeight="1">
      <c r="A815" s="112">
        <v>11505166</v>
      </c>
      <c r="B815" s="112" t="s">
        <v>1960</v>
      </c>
      <c r="C815" s="81" t="s">
        <v>664</v>
      </c>
      <c r="D815" s="81">
        <v>900</v>
      </c>
      <c r="E815" s="81" t="s">
        <v>596</v>
      </c>
      <c r="F815" s="81">
        <v>5166</v>
      </c>
      <c r="G815" s="81" t="s">
        <v>282</v>
      </c>
      <c r="H815" s="81">
        <v>5265</v>
      </c>
      <c r="I815" s="81" t="s">
        <v>626</v>
      </c>
      <c r="J815" s="81">
        <v>2</v>
      </c>
      <c r="K815" s="81">
        <v>115</v>
      </c>
      <c r="L815" s="81" t="s">
        <v>663</v>
      </c>
    </row>
    <row r="816" spans="1:12" ht="15" customHeight="1">
      <c r="A816" s="112">
        <v>11505266</v>
      </c>
      <c r="B816" s="112" t="s">
        <v>1961</v>
      </c>
      <c r="C816" s="81" t="s">
        <v>664</v>
      </c>
      <c r="D816" s="81">
        <v>900</v>
      </c>
      <c r="E816" s="81" t="s">
        <v>596</v>
      </c>
      <c r="F816" s="81">
        <v>5266</v>
      </c>
      <c r="G816" s="81" t="s">
        <v>282</v>
      </c>
      <c r="H816" s="81">
        <v>5365</v>
      </c>
      <c r="I816" s="81" t="s">
        <v>627</v>
      </c>
      <c r="J816" s="81">
        <v>3</v>
      </c>
      <c r="K816" s="81">
        <v>115</v>
      </c>
      <c r="L816" s="81" t="s">
        <v>663</v>
      </c>
    </row>
    <row r="817" spans="1:12" ht="15" customHeight="1">
      <c r="A817" s="112">
        <v>11505366</v>
      </c>
      <c r="B817" s="112" t="s">
        <v>1962</v>
      </c>
      <c r="C817" s="81" t="s">
        <v>664</v>
      </c>
      <c r="D817" s="81">
        <v>900</v>
      </c>
      <c r="E817" s="81" t="s">
        <v>596</v>
      </c>
      <c r="F817" s="81">
        <v>5366</v>
      </c>
      <c r="G817" s="81" t="s">
        <v>282</v>
      </c>
      <c r="H817" s="81">
        <v>5465</v>
      </c>
      <c r="I817" s="81" t="s">
        <v>628</v>
      </c>
      <c r="J817" s="81">
        <v>3</v>
      </c>
      <c r="K817" s="81">
        <v>115</v>
      </c>
      <c r="L817" s="81" t="s">
        <v>663</v>
      </c>
    </row>
    <row r="818" spans="1:12" ht="15" customHeight="1">
      <c r="A818" s="112">
        <v>11505466</v>
      </c>
      <c r="B818" s="112" t="s">
        <v>1963</v>
      </c>
      <c r="C818" s="81" t="s">
        <v>664</v>
      </c>
      <c r="D818" s="81">
        <v>900</v>
      </c>
      <c r="E818" s="81" t="s">
        <v>596</v>
      </c>
      <c r="F818" s="81">
        <v>5466</v>
      </c>
      <c r="G818" s="81" t="s">
        <v>282</v>
      </c>
      <c r="H818" s="81">
        <v>5565</v>
      </c>
      <c r="I818" s="81" t="s">
        <v>629</v>
      </c>
      <c r="J818" s="81">
        <v>3</v>
      </c>
      <c r="K818" s="81">
        <v>115</v>
      </c>
      <c r="L818" s="81" t="s">
        <v>663</v>
      </c>
    </row>
    <row r="819" spans="1:12" ht="15" customHeight="1">
      <c r="A819" s="112">
        <v>11505566</v>
      </c>
      <c r="B819" s="112" t="s">
        <v>1964</v>
      </c>
      <c r="C819" s="81" t="s">
        <v>664</v>
      </c>
      <c r="D819" s="81">
        <v>900</v>
      </c>
      <c r="E819" s="81" t="s">
        <v>596</v>
      </c>
      <c r="F819" s="81">
        <v>5566</v>
      </c>
      <c r="G819" s="81" t="s">
        <v>282</v>
      </c>
      <c r="H819" s="81">
        <v>5665</v>
      </c>
      <c r="I819" s="81" t="s">
        <v>630</v>
      </c>
      <c r="J819" s="81">
        <v>3</v>
      </c>
      <c r="K819" s="81">
        <v>115</v>
      </c>
      <c r="L819" s="81" t="s">
        <v>663</v>
      </c>
    </row>
    <row r="820" spans="1:12" ht="15" customHeight="1">
      <c r="A820" s="112">
        <v>11505666</v>
      </c>
      <c r="B820" s="112" t="s">
        <v>1965</v>
      </c>
      <c r="C820" s="81" t="s">
        <v>664</v>
      </c>
      <c r="D820" s="81">
        <v>900</v>
      </c>
      <c r="E820" s="81" t="s">
        <v>596</v>
      </c>
      <c r="F820" s="81">
        <v>5666</v>
      </c>
      <c r="G820" s="81" t="s">
        <v>282</v>
      </c>
      <c r="H820" s="81">
        <v>5765</v>
      </c>
      <c r="I820" s="81" t="s">
        <v>631</v>
      </c>
      <c r="J820" s="81">
        <v>3</v>
      </c>
      <c r="K820" s="81">
        <v>115</v>
      </c>
      <c r="L820" s="81" t="s">
        <v>663</v>
      </c>
    </row>
    <row r="821" spans="1:12" ht="15" customHeight="1">
      <c r="A821" s="112">
        <v>11505766</v>
      </c>
      <c r="B821" s="112" t="s">
        <v>1966</v>
      </c>
      <c r="C821" s="81" t="s">
        <v>664</v>
      </c>
      <c r="D821" s="81">
        <v>900</v>
      </c>
      <c r="E821" s="81" t="s">
        <v>596</v>
      </c>
      <c r="F821" s="81">
        <v>5766</v>
      </c>
      <c r="G821" s="81" t="s">
        <v>282</v>
      </c>
      <c r="H821" s="81">
        <v>5865</v>
      </c>
      <c r="I821" s="81" t="s">
        <v>632</v>
      </c>
      <c r="J821" s="81">
        <v>3</v>
      </c>
      <c r="K821" s="81">
        <v>115</v>
      </c>
      <c r="L821" s="81" t="s">
        <v>663</v>
      </c>
    </row>
    <row r="822" spans="1:12" ht="15" customHeight="1">
      <c r="A822" s="112">
        <v>11505866</v>
      </c>
      <c r="B822" s="112" t="s">
        <v>1967</v>
      </c>
      <c r="C822" s="81" t="s">
        <v>664</v>
      </c>
      <c r="D822" s="81">
        <v>900</v>
      </c>
      <c r="E822" s="81" t="s">
        <v>596</v>
      </c>
      <c r="F822" s="81">
        <v>5866</v>
      </c>
      <c r="G822" s="81" t="s">
        <v>282</v>
      </c>
      <c r="H822" s="81">
        <v>5965</v>
      </c>
      <c r="I822" s="81" t="s">
        <v>633</v>
      </c>
      <c r="J822" s="81">
        <v>3</v>
      </c>
      <c r="K822" s="81">
        <v>115</v>
      </c>
      <c r="L822" s="81" t="s">
        <v>663</v>
      </c>
    </row>
    <row r="823" spans="1:12" ht="15" customHeight="1">
      <c r="A823" s="112">
        <v>11505966</v>
      </c>
      <c r="B823" s="112" t="s">
        <v>1968</v>
      </c>
      <c r="C823" s="81" t="s">
        <v>664</v>
      </c>
      <c r="D823" s="81">
        <v>900</v>
      </c>
      <c r="E823" s="81" t="s">
        <v>596</v>
      </c>
      <c r="F823" s="81">
        <v>5966</v>
      </c>
      <c r="G823" s="81" t="s">
        <v>282</v>
      </c>
      <c r="H823" s="81">
        <v>6065</v>
      </c>
      <c r="I823" s="81" t="s">
        <v>634</v>
      </c>
      <c r="J823" s="81">
        <v>3</v>
      </c>
      <c r="K823" s="81">
        <v>115</v>
      </c>
      <c r="L823" s="81" t="s">
        <v>663</v>
      </c>
    </row>
    <row r="824" spans="1:12" ht="15" customHeight="1">
      <c r="A824" s="112">
        <v>11506066</v>
      </c>
      <c r="B824" s="112" t="s">
        <v>1969</v>
      </c>
      <c r="C824" s="81" t="s">
        <v>664</v>
      </c>
      <c r="D824" s="81">
        <v>900</v>
      </c>
      <c r="E824" s="81" t="s">
        <v>596</v>
      </c>
      <c r="F824" s="81">
        <v>6066</v>
      </c>
      <c r="G824" s="81" t="s">
        <v>282</v>
      </c>
      <c r="H824" s="81">
        <v>6165</v>
      </c>
      <c r="I824" s="81" t="s">
        <v>635</v>
      </c>
      <c r="J824" s="81">
        <v>4</v>
      </c>
      <c r="K824" s="81">
        <v>115</v>
      </c>
      <c r="L824" s="81" t="s">
        <v>663</v>
      </c>
    </row>
    <row r="825" spans="1:12" ht="15" customHeight="1">
      <c r="A825" s="112">
        <v>11506166</v>
      </c>
      <c r="B825" s="112" t="s">
        <v>1970</v>
      </c>
      <c r="C825" s="81" t="s">
        <v>664</v>
      </c>
      <c r="D825" s="81">
        <v>900</v>
      </c>
      <c r="E825" s="81" t="s">
        <v>596</v>
      </c>
      <c r="F825" s="81">
        <v>6166</v>
      </c>
      <c r="G825" s="81" t="s">
        <v>282</v>
      </c>
      <c r="H825" s="81">
        <v>6265</v>
      </c>
      <c r="I825" s="81" t="s">
        <v>636</v>
      </c>
      <c r="J825" s="81">
        <v>4</v>
      </c>
      <c r="K825" s="81">
        <v>115</v>
      </c>
      <c r="L825" s="81" t="s">
        <v>663</v>
      </c>
    </row>
    <row r="826" spans="1:12" ht="15" customHeight="1">
      <c r="A826" s="112">
        <v>11506266</v>
      </c>
      <c r="B826" s="112" t="s">
        <v>1971</v>
      </c>
      <c r="C826" s="81" t="s">
        <v>664</v>
      </c>
      <c r="D826" s="81">
        <v>900</v>
      </c>
      <c r="E826" s="81" t="s">
        <v>596</v>
      </c>
      <c r="F826" s="81">
        <v>6266</v>
      </c>
      <c r="G826" s="81" t="s">
        <v>282</v>
      </c>
      <c r="H826" s="81">
        <v>6365</v>
      </c>
      <c r="I826" s="81" t="s">
        <v>637</v>
      </c>
      <c r="J826" s="81">
        <v>4</v>
      </c>
      <c r="K826" s="81">
        <v>115</v>
      </c>
      <c r="L826" s="81" t="s">
        <v>663</v>
      </c>
    </row>
    <row r="827" spans="1:12" ht="15" customHeight="1">
      <c r="A827" s="112">
        <v>11506366</v>
      </c>
      <c r="B827" s="112" t="s">
        <v>1972</v>
      </c>
      <c r="C827" s="81" t="s">
        <v>664</v>
      </c>
      <c r="D827" s="81">
        <v>900</v>
      </c>
      <c r="E827" s="81" t="s">
        <v>596</v>
      </c>
      <c r="F827" s="81">
        <v>6366</v>
      </c>
      <c r="G827" s="81" t="s">
        <v>282</v>
      </c>
      <c r="H827" s="81">
        <v>6465</v>
      </c>
      <c r="I827" s="81" t="s">
        <v>638</v>
      </c>
      <c r="J827" s="81">
        <v>4</v>
      </c>
      <c r="K827" s="81">
        <v>115</v>
      </c>
      <c r="L827" s="81" t="s">
        <v>663</v>
      </c>
    </row>
    <row r="828" spans="1:12" ht="15" customHeight="1">
      <c r="A828" s="112">
        <v>11506466</v>
      </c>
      <c r="B828" s="112" t="s">
        <v>1973</v>
      </c>
      <c r="C828" s="81" t="s">
        <v>664</v>
      </c>
      <c r="D828" s="81">
        <v>900</v>
      </c>
      <c r="E828" s="81" t="s">
        <v>596</v>
      </c>
      <c r="F828" s="81">
        <v>6466</v>
      </c>
      <c r="G828" s="81" t="s">
        <v>282</v>
      </c>
      <c r="H828" s="81">
        <v>6565</v>
      </c>
      <c r="I828" s="81" t="s">
        <v>639</v>
      </c>
      <c r="J828" s="81">
        <v>4</v>
      </c>
      <c r="K828" s="81">
        <v>115</v>
      </c>
      <c r="L828" s="81" t="s">
        <v>663</v>
      </c>
    </row>
    <row r="829" spans="1:12" ht="15" customHeight="1">
      <c r="A829" s="112">
        <v>11506566</v>
      </c>
      <c r="B829" s="112" t="s">
        <v>1974</v>
      </c>
      <c r="C829" s="81" t="s">
        <v>664</v>
      </c>
      <c r="D829" s="81">
        <v>900</v>
      </c>
      <c r="E829" s="81" t="s">
        <v>596</v>
      </c>
      <c r="F829" s="81">
        <v>6566</v>
      </c>
      <c r="G829" s="81" t="s">
        <v>282</v>
      </c>
      <c r="H829" s="81">
        <v>6665</v>
      </c>
      <c r="I829" s="81" t="s">
        <v>640</v>
      </c>
      <c r="J829" s="81">
        <v>4</v>
      </c>
      <c r="K829" s="81">
        <v>115</v>
      </c>
      <c r="L829" s="81" t="s">
        <v>663</v>
      </c>
    </row>
    <row r="830" spans="1:12" ht="15" customHeight="1">
      <c r="A830" s="112">
        <v>11506666</v>
      </c>
      <c r="B830" s="112" t="s">
        <v>1975</v>
      </c>
      <c r="C830" s="81" t="s">
        <v>664</v>
      </c>
      <c r="D830" s="81">
        <v>900</v>
      </c>
      <c r="E830" s="81" t="s">
        <v>596</v>
      </c>
      <c r="F830" s="81">
        <v>6666</v>
      </c>
      <c r="G830" s="81" t="s">
        <v>282</v>
      </c>
      <c r="H830" s="81">
        <v>6765</v>
      </c>
      <c r="I830" s="81" t="s">
        <v>641</v>
      </c>
      <c r="J830" s="81">
        <v>4</v>
      </c>
      <c r="K830" s="81">
        <v>115</v>
      </c>
      <c r="L830" s="81" t="s">
        <v>663</v>
      </c>
    </row>
    <row r="831" spans="1:12" ht="15" customHeight="1">
      <c r="A831" s="112">
        <v>11506766</v>
      </c>
      <c r="B831" s="112" t="s">
        <v>1976</v>
      </c>
      <c r="C831" s="81" t="s">
        <v>664</v>
      </c>
      <c r="D831" s="81">
        <v>900</v>
      </c>
      <c r="E831" s="81" t="s">
        <v>596</v>
      </c>
      <c r="F831" s="81">
        <v>6766</v>
      </c>
      <c r="G831" s="81" t="s">
        <v>282</v>
      </c>
      <c r="H831" s="81">
        <v>6865</v>
      </c>
      <c r="I831" s="81" t="s">
        <v>642</v>
      </c>
      <c r="J831" s="81">
        <v>4</v>
      </c>
      <c r="K831" s="81">
        <v>115</v>
      </c>
      <c r="L831" s="81" t="s">
        <v>663</v>
      </c>
    </row>
    <row r="832" spans="1:12" ht="15" customHeight="1">
      <c r="A832" s="112">
        <v>11506866</v>
      </c>
      <c r="B832" s="112" t="s">
        <v>1977</v>
      </c>
      <c r="C832" s="81" t="s">
        <v>664</v>
      </c>
      <c r="D832" s="81">
        <v>900</v>
      </c>
      <c r="E832" s="81" t="s">
        <v>596</v>
      </c>
      <c r="F832" s="81">
        <v>6866</v>
      </c>
      <c r="G832" s="81" t="s">
        <v>282</v>
      </c>
      <c r="H832" s="81">
        <v>6965</v>
      </c>
      <c r="I832" s="81" t="s">
        <v>643</v>
      </c>
      <c r="J832" s="81">
        <v>5</v>
      </c>
      <c r="K832" s="81">
        <v>115</v>
      </c>
      <c r="L832" s="81" t="s">
        <v>663</v>
      </c>
    </row>
    <row r="833" spans="1:12" ht="15" customHeight="1">
      <c r="A833" s="112">
        <v>11506966</v>
      </c>
      <c r="B833" s="112" t="s">
        <v>1978</v>
      </c>
      <c r="C833" s="81" t="s">
        <v>664</v>
      </c>
      <c r="D833" s="81">
        <v>900</v>
      </c>
      <c r="E833" s="81" t="s">
        <v>596</v>
      </c>
      <c r="F833" s="81">
        <v>6966</v>
      </c>
      <c r="G833" s="81" t="s">
        <v>282</v>
      </c>
      <c r="H833" s="81">
        <v>7065</v>
      </c>
      <c r="I833" s="81" t="s">
        <v>644</v>
      </c>
      <c r="J833" s="81">
        <v>5</v>
      </c>
      <c r="K833" s="81">
        <v>115</v>
      </c>
      <c r="L833" s="81" t="s">
        <v>663</v>
      </c>
    </row>
    <row r="834" spans="1:12" ht="15" customHeight="1">
      <c r="A834" s="112">
        <v>11507066</v>
      </c>
      <c r="B834" s="112" t="s">
        <v>1979</v>
      </c>
      <c r="C834" s="81" t="s">
        <v>664</v>
      </c>
      <c r="D834" s="81">
        <v>900</v>
      </c>
      <c r="E834" s="81" t="s">
        <v>596</v>
      </c>
      <c r="F834" s="81">
        <v>7066</v>
      </c>
      <c r="G834" s="81" t="s">
        <v>282</v>
      </c>
      <c r="H834" s="81">
        <v>7165</v>
      </c>
      <c r="I834" s="81" t="s">
        <v>645</v>
      </c>
      <c r="J834" s="81">
        <v>5</v>
      </c>
      <c r="K834" s="81">
        <v>115</v>
      </c>
      <c r="L834" s="81" t="s">
        <v>663</v>
      </c>
    </row>
    <row r="835" spans="1:12" ht="15" customHeight="1">
      <c r="A835" s="112">
        <v>11507166</v>
      </c>
      <c r="B835" s="112" t="s">
        <v>1980</v>
      </c>
      <c r="C835" s="81" t="s">
        <v>664</v>
      </c>
      <c r="D835" s="81">
        <v>900</v>
      </c>
      <c r="E835" s="81" t="s">
        <v>596</v>
      </c>
      <c r="F835" s="81">
        <v>7166</v>
      </c>
      <c r="G835" s="81" t="s">
        <v>282</v>
      </c>
      <c r="H835" s="81">
        <v>7265</v>
      </c>
      <c r="I835" s="81" t="s">
        <v>646</v>
      </c>
      <c r="J835" s="81">
        <v>5</v>
      </c>
      <c r="K835" s="81">
        <v>115</v>
      </c>
      <c r="L835" s="81" t="s">
        <v>663</v>
      </c>
    </row>
    <row r="836" spans="1:12" ht="15" customHeight="1">
      <c r="A836" s="112">
        <v>11507266</v>
      </c>
      <c r="B836" s="112" t="s">
        <v>1981</v>
      </c>
      <c r="C836" s="81" t="s">
        <v>664</v>
      </c>
      <c r="D836" s="81">
        <v>900</v>
      </c>
      <c r="E836" s="81" t="s">
        <v>596</v>
      </c>
      <c r="F836" s="81">
        <v>7266</v>
      </c>
      <c r="G836" s="81" t="s">
        <v>282</v>
      </c>
      <c r="H836" s="81">
        <v>7365</v>
      </c>
      <c r="I836" s="81" t="s">
        <v>647</v>
      </c>
      <c r="J836" s="81">
        <v>5</v>
      </c>
      <c r="K836" s="81">
        <v>115</v>
      </c>
      <c r="L836" s="81" t="s">
        <v>663</v>
      </c>
    </row>
    <row r="837" spans="1:12" ht="15" customHeight="1">
      <c r="A837" s="112">
        <v>11507366</v>
      </c>
      <c r="B837" s="112" t="s">
        <v>1982</v>
      </c>
      <c r="C837" s="81" t="s">
        <v>664</v>
      </c>
      <c r="D837" s="81">
        <v>900</v>
      </c>
      <c r="E837" s="81" t="s">
        <v>596</v>
      </c>
      <c r="F837" s="81">
        <v>7366</v>
      </c>
      <c r="G837" s="81" t="s">
        <v>282</v>
      </c>
      <c r="H837" s="81">
        <v>7465</v>
      </c>
      <c r="I837" s="81" t="s">
        <v>648</v>
      </c>
      <c r="J837" s="81">
        <v>5</v>
      </c>
      <c r="K837" s="81">
        <v>115</v>
      </c>
      <c r="L837" s="81" t="s">
        <v>663</v>
      </c>
    </row>
    <row r="838" spans="1:12" ht="15" customHeight="1">
      <c r="A838" s="112">
        <v>11507466</v>
      </c>
      <c r="B838" s="112" t="s">
        <v>1983</v>
      </c>
      <c r="C838" s="81" t="s">
        <v>664</v>
      </c>
      <c r="D838" s="81">
        <v>900</v>
      </c>
      <c r="E838" s="81" t="s">
        <v>596</v>
      </c>
      <c r="F838" s="81">
        <v>7466</v>
      </c>
      <c r="G838" s="81" t="s">
        <v>282</v>
      </c>
      <c r="H838" s="81">
        <v>7565</v>
      </c>
      <c r="I838" s="81" t="s">
        <v>649</v>
      </c>
      <c r="J838" s="81">
        <v>5</v>
      </c>
      <c r="K838" s="81">
        <v>115</v>
      </c>
      <c r="L838" s="81" t="s">
        <v>663</v>
      </c>
    </row>
    <row r="839" spans="1:12" ht="15" customHeight="1">
      <c r="A839" s="112">
        <v>11507566</v>
      </c>
      <c r="B839" s="112" t="s">
        <v>1984</v>
      </c>
      <c r="C839" s="81" t="s">
        <v>664</v>
      </c>
      <c r="D839" s="81">
        <v>900</v>
      </c>
      <c r="E839" s="81" t="s">
        <v>596</v>
      </c>
      <c r="F839" s="81">
        <v>7566</v>
      </c>
      <c r="G839" s="81" t="s">
        <v>282</v>
      </c>
      <c r="H839" s="81">
        <v>7665</v>
      </c>
      <c r="I839" s="81" t="s">
        <v>650</v>
      </c>
      <c r="J839" s="81">
        <v>5</v>
      </c>
      <c r="K839" s="81">
        <v>115</v>
      </c>
      <c r="L839" s="81" t="s">
        <v>663</v>
      </c>
    </row>
    <row r="840" spans="1:12" ht="15" customHeight="1">
      <c r="A840" s="112">
        <v>11507666</v>
      </c>
      <c r="B840" s="112" t="s">
        <v>1985</v>
      </c>
      <c r="C840" s="81" t="s">
        <v>664</v>
      </c>
      <c r="D840" s="81">
        <v>900</v>
      </c>
      <c r="E840" s="81" t="s">
        <v>596</v>
      </c>
      <c r="F840" s="81">
        <v>7666</v>
      </c>
      <c r="G840" s="81" t="s">
        <v>282</v>
      </c>
      <c r="H840" s="81">
        <v>7765</v>
      </c>
      <c r="I840" s="81" t="s">
        <v>651</v>
      </c>
      <c r="J840" s="81">
        <v>6</v>
      </c>
      <c r="K840" s="81">
        <v>115</v>
      </c>
      <c r="L840" s="81" t="s">
        <v>663</v>
      </c>
    </row>
    <row r="841" spans="1:12" ht="15" customHeight="1">
      <c r="A841" s="112">
        <v>11507766</v>
      </c>
      <c r="B841" s="112" t="s">
        <v>1986</v>
      </c>
      <c r="C841" s="81" t="s">
        <v>664</v>
      </c>
      <c r="D841" s="81">
        <v>900</v>
      </c>
      <c r="E841" s="81" t="s">
        <v>596</v>
      </c>
      <c r="F841" s="81">
        <v>7766</v>
      </c>
      <c r="G841" s="81" t="s">
        <v>282</v>
      </c>
      <c r="H841" s="81">
        <v>7865</v>
      </c>
      <c r="I841" s="81" t="s">
        <v>652</v>
      </c>
      <c r="J841" s="81">
        <v>6</v>
      </c>
      <c r="K841" s="81">
        <v>115</v>
      </c>
      <c r="L841" s="81" t="s">
        <v>663</v>
      </c>
    </row>
    <row r="842" spans="1:12" ht="15" customHeight="1">
      <c r="A842" s="112">
        <v>11507866</v>
      </c>
      <c r="B842" s="112" t="s">
        <v>1987</v>
      </c>
      <c r="C842" s="81" t="s">
        <v>664</v>
      </c>
      <c r="D842" s="81">
        <v>900</v>
      </c>
      <c r="E842" s="81" t="s">
        <v>596</v>
      </c>
      <c r="F842" s="81">
        <v>7866</v>
      </c>
      <c r="G842" s="81" t="s">
        <v>282</v>
      </c>
      <c r="H842" s="81">
        <v>7965</v>
      </c>
      <c r="I842" s="81" t="s">
        <v>653</v>
      </c>
      <c r="J842" s="81">
        <v>6</v>
      </c>
      <c r="K842" s="81">
        <v>115</v>
      </c>
      <c r="L842" s="81" t="s">
        <v>663</v>
      </c>
    </row>
    <row r="843" spans="1:12" ht="15" customHeight="1">
      <c r="A843" s="112">
        <v>11507966</v>
      </c>
      <c r="B843" s="112" t="s">
        <v>1988</v>
      </c>
      <c r="C843" s="81" t="s">
        <v>664</v>
      </c>
      <c r="D843" s="81">
        <v>900</v>
      </c>
      <c r="E843" s="81" t="s">
        <v>596</v>
      </c>
      <c r="F843" s="81">
        <v>7966</v>
      </c>
      <c r="G843" s="81" t="s">
        <v>282</v>
      </c>
      <c r="H843" s="81">
        <v>8065</v>
      </c>
      <c r="I843" s="81" t="s">
        <v>654</v>
      </c>
      <c r="J843" s="81">
        <v>6</v>
      </c>
      <c r="K843" s="81">
        <v>115</v>
      </c>
      <c r="L843" s="81" t="s">
        <v>663</v>
      </c>
    </row>
    <row r="844" spans="1:12" ht="15" customHeight="1">
      <c r="A844" s="112">
        <v>11600000</v>
      </c>
      <c r="B844" s="112" t="s">
        <v>1989</v>
      </c>
      <c r="C844" s="81" t="s">
        <v>664</v>
      </c>
      <c r="D844" s="81">
        <v>900</v>
      </c>
      <c r="E844" s="81" t="s">
        <v>264</v>
      </c>
      <c r="F844" s="81">
        <v>0</v>
      </c>
      <c r="G844" s="81" t="s">
        <v>282</v>
      </c>
      <c r="H844" s="81">
        <v>2640</v>
      </c>
      <c r="I844" s="81" t="s">
        <v>597</v>
      </c>
      <c r="J844" s="81">
        <v>0</v>
      </c>
      <c r="K844" s="81">
        <v>116</v>
      </c>
      <c r="L844" s="81" t="s">
        <v>663</v>
      </c>
    </row>
    <row r="845" spans="1:12" ht="15" customHeight="1">
      <c r="A845" s="112">
        <v>11602641</v>
      </c>
      <c r="B845" s="112" t="s">
        <v>1990</v>
      </c>
      <c r="C845" s="81" t="s">
        <v>664</v>
      </c>
      <c r="D845" s="81">
        <v>900</v>
      </c>
      <c r="E845" s="81" t="s">
        <v>264</v>
      </c>
      <c r="F845" s="81">
        <v>2641</v>
      </c>
      <c r="G845" s="81" t="s">
        <v>282</v>
      </c>
      <c r="H845" s="81">
        <v>2715</v>
      </c>
      <c r="I845" s="81" t="s">
        <v>599</v>
      </c>
      <c r="J845" s="81">
        <v>0</v>
      </c>
      <c r="K845" s="81">
        <v>116</v>
      </c>
      <c r="L845" s="81" t="s">
        <v>663</v>
      </c>
    </row>
    <row r="846" spans="1:12" ht="15" customHeight="1">
      <c r="A846" s="112">
        <v>11602716</v>
      </c>
      <c r="B846" s="112" t="s">
        <v>1991</v>
      </c>
      <c r="C846" s="81" t="s">
        <v>664</v>
      </c>
      <c r="D846" s="81">
        <v>900</v>
      </c>
      <c r="E846" s="81" t="s">
        <v>264</v>
      </c>
      <c r="F846" s="81">
        <v>2716</v>
      </c>
      <c r="G846" s="81" t="s">
        <v>282</v>
      </c>
      <c r="H846" s="81">
        <v>2765</v>
      </c>
      <c r="I846" s="81" t="s">
        <v>600</v>
      </c>
      <c r="J846" s="81">
        <v>0</v>
      </c>
      <c r="K846" s="81">
        <v>116</v>
      </c>
      <c r="L846" s="81" t="s">
        <v>663</v>
      </c>
    </row>
    <row r="847" spans="1:12" ht="15" customHeight="1">
      <c r="A847" s="112">
        <v>11602766</v>
      </c>
      <c r="B847" s="112" t="s">
        <v>1992</v>
      </c>
      <c r="C847" s="81" t="s">
        <v>664</v>
      </c>
      <c r="D847" s="81">
        <v>900</v>
      </c>
      <c r="E847" s="81" t="s">
        <v>264</v>
      </c>
      <c r="F847" s="81">
        <v>2766</v>
      </c>
      <c r="G847" s="81" t="s">
        <v>282</v>
      </c>
      <c r="H847" s="81">
        <v>2865</v>
      </c>
      <c r="I847" s="81" t="s">
        <v>602</v>
      </c>
      <c r="J847" s="81">
        <v>0</v>
      </c>
      <c r="K847" s="81">
        <v>116</v>
      </c>
      <c r="L847" s="81" t="s">
        <v>663</v>
      </c>
    </row>
    <row r="848" spans="1:12" ht="15" customHeight="1">
      <c r="A848" s="112">
        <v>11602866</v>
      </c>
      <c r="B848" s="112" t="s">
        <v>1993</v>
      </c>
      <c r="C848" s="81" t="s">
        <v>664</v>
      </c>
      <c r="D848" s="81">
        <v>900</v>
      </c>
      <c r="E848" s="81" t="s">
        <v>264</v>
      </c>
      <c r="F848" s="81">
        <v>2866</v>
      </c>
      <c r="G848" s="81" t="s">
        <v>282</v>
      </c>
      <c r="H848" s="81">
        <v>2965</v>
      </c>
      <c r="I848" s="81" t="s">
        <v>603</v>
      </c>
      <c r="J848" s="81">
        <v>0</v>
      </c>
      <c r="K848" s="81">
        <v>116</v>
      </c>
      <c r="L848" s="81" t="s">
        <v>663</v>
      </c>
    </row>
    <row r="849" spans="1:12" ht="15" customHeight="1">
      <c r="A849" s="112">
        <v>11602966</v>
      </c>
      <c r="B849" s="112" t="s">
        <v>1994</v>
      </c>
      <c r="C849" s="81" t="s">
        <v>664</v>
      </c>
      <c r="D849" s="81">
        <v>900</v>
      </c>
      <c r="E849" s="81" t="s">
        <v>264</v>
      </c>
      <c r="F849" s="81">
        <v>2966</v>
      </c>
      <c r="G849" s="81" t="s">
        <v>282</v>
      </c>
      <c r="H849" s="81">
        <v>3065</v>
      </c>
      <c r="I849" s="81" t="s">
        <v>604</v>
      </c>
      <c r="J849" s="81">
        <v>0</v>
      </c>
      <c r="K849" s="81">
        <v>116</v>
      </c>
      <c r="L849" s="81" t="s">
        <v>663</v>
      </c>
    </row>
    <row r="850" spans="1:12" ht="15" customHeight="1">
      <c r="A850" s="112">
        <v>11603066</v>
      </c>
      <c r="B850" s="112" t="s">
        <v>1995</v>
      </c>
      <c r="C850" s="81" t="s">
        <v>664</v>
      </c>
      <c r="D850" s="81">
        <v>900</v>
      </c>
      <c r="E850" s="81" t="s">
        <v>264</v>
      </c>
      <c r="F850" s="81">
        <v>3066</v>
      </c>
      <c r="G850" s="81" t="s">
        <v>282</v>
      </c>
      <c r="H850" s="81">
        <v>3165</v>
      </c>
      <c r="I850" s="81" t="s">
        <v>605</v>
      </c>
      <c r="J850" s="81">
        <v>0</v>
      </c>
      <c r="K850" s="81">
        <v>116</v>
      </c>
      <c r="L850" s="81" t="s">
        <v>663</v>
      </c>
    </row>
    <row r="851" spans="1:12" ht="15" customHeight="1">
      <c r="A851" s="112">
        <v>11603166</v>
      </c>
      <c r="B851" s="112" t="s">
        <v>1996</v>
      </c>
      <c r="C851" s="81" t="s">
        <v>664</v>
      </c>
      <c r="D851" s="81">
        <v>900</v>
      </c>
      <c r="E851" s="81" t="s">
        <v>264</v>
      </c>
      <c r="F851" s="81">
        <v>3166</v>
      </c>
      <c r="G851" s="81" t="s">
        <v>282</v>
      </c>
      <c r="H851" s="81">
        <v>3265</v>
      </c>
      <c r="I851" s="81" t="s">
        <v>606</v>
      </c>
      <c r="J851" s="81">
        <v>0</v>
      </c>
      <c r="K851" s="81">
        <v>116</v>
      </c>
      <c r="L851" s="81" t="s">
        <v>663</v>
      </c>
    </row>
    <row r="852" spans="1:12" ht="15" customHeight="1">
      <c r="A852" s="112">
        <v>11603266</v>
      </c>
      <c r="B852" s="112" t="s">
        <v>1997</v>
      </c>
      <c r="C852" s="81" t="s">
        <v>664</v>
      </c>
      <c r="D852" s="81">
        <v>900</v>
      </c>
      <c r="E852" s="81" t="s">
        <v>264</v>
      </c>
      <c r="F852" s="81">
        <v>3266</v>
      </c>
      <c r="G852" s="81" t="s">
        <v>282</v>
      </c>
      <c r="H852" s="81">
        <v>3365</v>
      </c>
      <c r="I852" s="81" t="s">
        <v>607</v>
      </c>
      <c r="J852" s="81">
        <v>0</v>
      </c>
      <c r="K852" s="81">
        <v>116</v>
      </c>
      <c r="L852" s="81" t="s">
        <v>663</v>
      </c>
    </row>
    <row r="853" spans="1:12" ht="15" customHeight="1">
      <c r="A853" s="112">
        <v>11603366</v>
      </c>
      <c r="B853" s="112" t="s">
        <v>1998</v>
      </c>
      <c r="C853" s="81" t="s">
        <v>664</v>
      </c>
      <c r="D853" s="81">
        <v>900</v>
      </c>
      <c r="E853" s="81" t="s">
        <v>264</v>
      </c>
      <c r="F853" s="81">
        <v>3366</v>
      </c>
      <c r="G853" s="81" t="s">
        <v>282</v>
      </c>
      <c r="H853" s="81">
        <v>3465</v>
      </c>
      <c r="I853" s="81" t="s">
        <v>608</v>
      </c>
      <c r="J853" s="81">
        <v>0</v>
      </c>
      <c r="K853" s="81">
        <v>116</v>
      </c>
      <c r="L853" s="81" t="s">
        <v>663</v>
      </c>
    </row>
    <row r="854" spans="1:12" ht="15" customHeight="1">
      <c r="A854" s="112">
        <v>11603466</v>
      </c>
      <c r="B854" s="112" t="s">
        <v>1999</v>
      </c>
      <c r="C854" s="81" t="s">
        <v>664</v>
      </c>
      <c r="D854" s="81">
        <v>900</v>
      </c>
      <c r="E854" s="81" t="s">
        <v>264</v>
      </c>
      <c r="F854" s="81">
        <v>3466</v>
      </c>
      <c r="G854" s="81" t="s">
        <v>282</v>
      </c>
      <c r="H854" s="81">
        <v>3565</v>
      </c>
      <c r="I854" s="81" t="s">
        <v>609</v>
      </c>
      <c r="J854" s="81">
        <v>0</v>
      </c>
      <c r="K854" s="81">
        <v>116</v>
      </c>
      <c r="L854" s="81" t="s">
        <v>663</v>
      </c>
    </row>
    <row r="855" spans="1:12" ht="15" customHeight="1">
      <c r="A855" s="112">
        <v>11603566</v>
      </c>
      <c r="B855" s="112" t="s">
        <v>2000</v>
      </c>
      <c r="C855" s="81" t="s">
        <v>664</v>
      </c>
      <c r="D855" s="81">
        <v>900</v>
      </c>
      <c r="E855" s="81" t="s">
        <v>264</v>
      </c>
      <c r="F855" s="81">
        <v>3566</v>
      </c>
      <c r="G855" s="81" t="s">
        <v>282</v>
      </c>
      <c r="H855" s="81">
        <v>3665</v>
      </c>
      <c r="I855" s="81" t="s">
        <v>610</v>
      </c>
      <c r="J855" s="81">
        <v>0</v>
      </c>
      <c r="K855" s="81">
        <v>116</v>
      </c>
      <c r="L855" s="81" t="s">
        <v>663</v>
      </c>
    </row>
    <row r="856" spans="1:12" ht="15" customHeight="1">
      <c r="A856" s="112">
        <v>11603666</v>
      </c>
      <c r="B856" s="112" t="s">
        <v>2001</v>
      </c>
      <c r="C856" s="81" t="s">
        <v>664</v>
      </c>
      <c r="D856" s="81">
        <v>900</v>
      </c>
      <c r="E856" s="81" t="s">
        <v>264</v>
      </c>
      <c r="F856" s="81">
        <v>3666</v>
      </c>
      <c r="G856" s="81" t="s">
        <v>282</v>
      </c>
      <c r="H856" s="81">
        <v>3765</v>
      </c>
      <c r="I856" s="81" t="s">
        <v>611</v>
      </c>
      <c r="J856" s="81">
        <v>1</v>
      </c>
      <c r="K856" s="81">
        <v>116</v>
      </c>
      <c r="L856" s="81" t="s">
        <v>663</v>
      </c>
    </row>
    <row r="857" spans="1:12" ht="15" customHeight="1">
      <c r="A857" s="112">
        <v>11603766</v>
      </c>
      <c r="B857" s="112" t="s">
        <v>2002</v>
      </c>
      <c r="C857" s="81" t="s">
        <v>664</v>
      </c>
      <c r="D857" s="81">
        <v>900</v>
      </c>
      <c r="E857" s="81" t="s">
        <v>264</v>
      </c>
      <c r="F857" s="81">
        <v>3766</v>
      </c>
      <c r="G857" s="81" t="s">
        <v>282</v>
      </c>
      <c r="H857" s="81">
        <v>3865</v>
      </c>
      <c r="I857" s="81" t="s">
        <v>612</v>
      </c>
      <c r="J857" s="81">
        <v>1</v>
      </c>
      <c r="K857" s="81">
        <v>116</v>
      </c>
      <c r="L857" s="81" t="s">
        <v>663</v>
      </c>
    </row>
    <row r="858" spans="1:12" ht="15" customHeight="1">
      <c r="A858" s="112">
        <v>11603866</v>
      </c>
      <c r="B858" s="112" t="s">
        <v>2003</v>
      </c>
      <c r="C858" s="81" t="s">
        <v>664</v>
      </c>
      <c r="D858" s="81">
        <v>900</v>
      </c>
      <c r="E858" s="81" t="s">
        <v>264</v>
      </c>
      <c r="F858" s="81">
        <v>3866</v>
      </c>
      <c r="G858" s="81" t="s">
        <v>282</v>
      </c>
      <c r="H858" s="81">
        <v>3965</v>
      </c>
      <c r="I858" s="81" t="s">
        <v>613</v>
      </c>
      <c r="J858" s="81">
        <v>1</v>
      </c>
      <c r="K858" s="81">
        <v>116</v>
      </c>
      <c r="L858" s="81" t="s">
        <v>663</v>
      </c>
    </row>
    <row r="859" spans="1:12" ht="15" customHeight="1">
      <c r="A859" s="112">
        <v>11603966</v>
      </c>
      <c r="B859" s="112" t="s">
        <v>2004</v>
      </c>
      <c r="C859" s="81" t="s">
        <v>664</v>
      </c>
      <c r="D859" s="81">
        <v>900</v>
      </c>
      <c r="E859" s="81" t="s">
        <v>264</v>
      </c>
      <c r="F859" s="81">
        <v>3966</v>
      </c>
      <c r="G859" s="81" t="s">
        <v>282</v>
      </c>
      <c r="H859" s="81">
        <v>4065</v>
      </c>
      <c r="I859" s="81" t="s">
        <v>614</v>
      </c>
      <c r="J859" s="81">
        <v>1</v>
      </c>
      <c r="K859" s="81">
        <v>116</v>
      </c>
      <c r="L859" s="81" t="s">
        <v>663</v>
      </c>
    </row>
    <row r="860" spans="1:12" ht="15" customHeight="1">
      <c r="A860" s="112">
        <v>11604066</v>
      </c>
      <c r="B860" s="112" t="s">
        <v>2005</v>
      </c>
      <c r="C860" s="81" t="s">
        <v>664</v>
      </c>
      <c r="D860" s="81">
        <v>900</v>
      </c>
      <c r="E860" s="81" t="s">
        <v>264</v>
      </c>
      <c r="F860" s="81">
        <v>4066</v>
      </c>
      <c r="G860" s="81" t="s">
        <v>282</v>
      </c>
      <c r="H860" s="81">
        <v>4165</v>
      </c>
      <c r="I860" s="81" t="s">
        <v>615</v>
      </c>
      <c r="J860" s="81">
        <v>1</v>
      </c>
      <c r="K860" s="81">
        <v>116</v>
      </c>
      <c r="L860" s="81" t="s">
        <v>663</v>
      </c>
    </row>
    <row r="861" spans="1:12" ht="15" customHeight="1">
      <c r="A861" s="112">
        <v>11604166</v>
      </c>
      <c r="B861" s="112" t="s">
        <v>2006</v>
      </c>
      <c r="C861" s="81" t="s">
        <v>664</v>
      </c>
      <c r="D861" s="81">
        <v>900</v>
      </c>
      <c r="E861" s="81" t="s">
        <v>264</v>
      </c>
      <c r="F861" s="81">
        <v>4166</v>
      </c>
      <c r="G861" s="81" t="s">
        <v>282</v>
      </c>
      <c r="H861" s="81">
        <v>4265</v>
      </c>
      <c r="I861" s="81" t="s">
        <v>616</v>
      </c>
      <c r="J861" s="81">
        <v>1</v>
      </c>
      <c r="K861" s="81">
        <v>116</v>
      </c>
      <c r="L861" s="81" t="s">
        <v>663</v>
      </c>
    </row>
    <row r="862" spans="1:12" ht="15" customHeight="1">
      <c r="A862" s="112">
        <v>11604266</v>
      </c>
      <c r="B862" s="112" t="s">
        <v>2007</v>
      </c>
      <c r="C862" s="81" t="s">
        <v>664</v>
      </c>
      <c r="D862" s="81">
        <v>900</v>
      </c>
      <c r="E862" s="81" t="s">
        <v>264</v>
      </c>
      <c r="F862" s="81">
        <v>4266</v>
      </c>
      <c r="G862" s="81" t="s">
        <v>282</v>
      </c>
      <c r="H862" s="81">
        <v>4365</v>
      </c>
      <c r="I862" s="81" t="s">
        <v>617</v>
      </c>
      <c r="J862" s="81">
        <v>1</v>
      </c>
      <c r="K862" s="81">
        <v>116</v>
      </c>
      <c r="L862" s="81" t="s">
        <v>663</v>
      </c>
    </row>
    <row r="863" spans="1:12" ht="15" customHeight="1">
      <c r="A863" s="112">
        <v>11604366</v>
      </c>
      <c r="B863" s="112" t="s">
        <v>2008</v>
      </c>
      <c r="C863" s="81" t="s">
        <v>664</v>
      </c>
      <c r="D863" s="81">
        <v>900</v>
      </c>
      <c r="E863" s="81" t="s">
        <v>264</v>
      </c>
      <c r="F863" s="81">
        <v>4366</v>
      </c>
      <c r="G863" s="81" t="s">
        <v>282</v>
      </c>
      <c r="H863" s="81">
        <v>4465</v>
      </c>
      <c r="I863" s="81" t="s">
        <v>618</v>
      </c>
      <c r="J863" s="81">
        <v>1</v>
      </c>
      <c r="K863" s="81">
        <v>116</v>
      </c>
      <c r="L863" s="81" t="s">
        <v>663</v>
      </c>
    </row>
    <row r="864" spans="1:12" ht="15" customHeight="1">
      <c r="A864" s="112">
        <v>11604466</v>
      </c>
      <c r="B864" s="112" t="s">
        <v>2009</v>
      </c>
      <c r="C864" s="81" t="s">
        <v>664</v>
      </c>
      <c r="D864" s="81">
        <v>900</v>
      </c>
      <c r="E864" s="81" t="s">
        <v>264</v>
      </c>
      <c r="F864" s="81">
        <v>4466</v>
      </c>
      <c r="G864" s="81" t="s">
        <v>282</v>
      </c>
      <c r="H864" s="81">
        <v>4565</v>
      </c>
      <c r="I864" s="81" t="s">
        <v>619</v>
      </c>
      <c r="J864" s="81">
        <v>2</v>
      </c>
      <c r="K864" s="81">
        <v>116</v>
      </c>
      <c r="L864" s="81" t="s">
        <v>663</v>
      </c>
    </row>
    <row r="865" spans="1:12" ht="15" customHeight="1">
      <c r="A865" s="112">
        <v>11604566</v>
      </c>
      <c r="B865" s="112" t="s">
        <v>2010</v>
      </c>
      <c r="C865" s="81" t="s">
        <v>664</v>
      </c>
      <c r="D865" s="81">
        <v>900</v>
      </c>
      <c r="E865" s="81" t="s">
        <v>264</v>
      </c>
      <c r="F865" s="81">
        <v>4566</v>
      </c>
      <c r="G865" s="81" t="s">
        <v>282</v>
      </c>
      <c r="H865" s="81">
        <v>4665</v>
      </c>
      <c r="I865" s="81" t="s">
        <v>620</v>
      </c>
      <c r="J865" s="81">
        <v>2</v>
      </c>
      <c r="K865" s="81">
        <v>116</v>
      </c>
      <c r="L865" s="81" t="s">
        <v>663</v>
      </c>
    </row>
    <row r="866" spans="1:12" ht="15" customHeight="1">
      <c r="A866" s="112">
        <v>11604666</v>
      </c>
      <c r="B866" s="112" t="s">
        <v>2011</v>
      </c>
      <c r="C866" s="81" t="s">
        <v>664</v>
      </c>
      <c r="D866" s="81">
        <v>900</v>
      </c>
      <c r="E866" s="81" t="s">
        <v>264</v>
      </c>
      <c r="F866" s="81">
        <v>4666</v>
      </c>
      <c r="G866" s="81" t="s">
        <v>282</v>
      </c>
      <c r="H866" s="81">
        <v>4765</v>
      </c>
      <c r="I866" s="81" t="s">
        <v>621</v>
      </c>
      <c r="J866" s="81">
        <v>2</v>
      </c>
      <c r="K866" s="81">
        <v>116</v>
      </c>
      <c r="L866" s="81" t="s">
        <v>663</v>
      </c>
    </row>
    <row r="867" spans="1:12" ht="15" customHeight="1">
      <c r="A867" s="112">
        <v>11604766</v>
      </c>
      <c r="B867" s="112" t="s">
        <v>2012</v>
      </c>
      <c r="C867" s="81" t="s">
        <v>664</v>
      </c>
      <c r="D867" s="81">
        <v>900</v>
      </c>
      <c r="E867" s="81" t="s">
        <v>264</v>
      </c>
      <c r="F867" s="81">
        <v>4766</v>
      </c>
      <c r="G867" s="81" t="s">
        <v>282</v>
      </c>
      <c r="H867" s="81">
        <v>4865</v>
      </c>
      <c r="I867" s="81" t="s">
        <v>622</v>
      </c>
      <c r="J867" s="81">
        <v>2</v>
      </c>
      <c r="K867" s="81">
        <v>116</v>
      </c>
      <c r="L867" s="81" t="s">
        <v>663</v>
      </c>
    </row>
    <row r="868" spans="1:12" ht="15" customHeight="1">
      <c r="A868" s="112">
        <v>11604866</v>
      </c>
      <c r="B868" s="112" t="s">
        <v>2013</v>
      </c>
      <c r="C868" s="81" t="s">
        <v>664</v>
      </c>
      <c r="D868" s="81">
        <v>900</v>
      </c>
      <c r="E868" s="81" t="s">
        <v>264</v>
      </c>
      <c r="F868" s="81">
        <v>4866</v>
      </c>
      <c r="G868" s="81" t="s">
        <v>282</v>
      </c>
      <c r="H868" s="81">
        <v>4965</v>
      </c>
      <c r="I868" s="81" t="s">
        <v>623</v>
      </c>
      <c r="J868" s="81">
        <v>2</v>
      </c>
      <c r="K868" s="81">
        <v>116</v>
      </c>
      <c r="L868" s="81" t="s">
        <v>663</v>
      </c>
    </row>
    <row r="869" spans="1:12" ht="15" customHeight="1">
      <c r="A869" s="112">
        <v>11604966</v>
      </c>
      <c r="B869" s="112" t="s">
        <v>2014</v>
      </c>
      <c r="C869" s="81" t="s">
        <v>664</v>
      </c>
      <c r="D869" s="81">
        <v>900</v>
      </c>
      <c r="E869" s="81" t="s">
        <v>264</v>
      </c>
      <c r="F869" s="81">
        <v>4966</v>
      </c>
      <c r="G869" s="81" t="s">
        <v>282</v>
      </c>
      <c r="H869" s="81">
        <v>5065</v>
      </c>
      <c r="I869" s="81" t="s">
        <v>624</v>
      </c>
      <c r="J869" s="81">
        <v>2</v>
      </c>
      <c r="K869" s="81">
        <v>116</v>
      </c>
      <c r="L869" s="81" t="s">
        <v>663</v>
      </c>
    </row>
    <row r="870" spans="1:12" ht="15" customHeight="1">
      <c r="A870" s="112">
        <v>11605066</v>
      </c>
      <c r="B870" s="112" t="s">
        <v>2015</v>
      </c>
      <c r="C870" s="81" t="s">
        <v>664</v>
      </c>
      <c r="D870" s="81">
        <v>900</v>
      </c>
      <c r="E870" s="81" t="s">
        <v>264</v>
      </c>
      <c r="F870" s="81">
        <v>5066</v>
      </c>
      <c r="G870" s="81" t="s">
        <v>282</v>
      </c>
      <c r="H870" s="81">
        <v>5165</v>
      </c>
      <c r="I870" s="81" t="s">
        <v>625</v>
      </c>
      <c r="J870" s="81">
        <v>2</v>
      </c>
      <c r="K870" s="81">
        <v>116</v>
      </c>
      <c r="L870" s="81" t="s">
        <v>663</v>
      </c>
    </row>
    <row r="871" spans="1:12" ht="15" customHeight="1">
      <c r="A871" s="112">
        <v>11605166</v>
      </c>
      <c r="B871" s="112" t="s">
        <v>2016</v>
      </c>
      <c r="C871" s="81" t="s">
        <v>664</v>
      </c>
      <c r="D871" s="81">
        <v>900</v>
      </c>
      <c r="E871" s="81" t="s">
        <v>264</v>
      </c>
      <c r="F871" s="81">
        <v>5166</v>
      </c>
      <c r="G871" s="81" t="s">
        <v>282</v>
      </c>
      <c r="H871" s="81">
        <v>5265</v>
      </c>
      <c r="I871" s="81" t="s">
        <v>626</v>
      </c>
      <c r="J871" s="81">
        <v>2</v>
      </c>
      <c r="K871" s="81">
        <v>116</v>
      </c>
      <c r="L871" s="81" t="s">
        <v>663</v>
      </c>
    </row>
    <row r="872" spans="1:12" ht="15" customHeight="1">
      <c r="A872" s="112">
        <v>11605266</v>
      </c>
      <c r="B872" s="112" t="s">
        <v>2017</v>
      </c>
      <c r="C872" s="81" t="s">
        <v>664</v>
      </c>
      <c r="D872" s="81">
        <v>900</v>
      </c>
      <c r="E872" s="81" t="s">
        <v>264</v>
      </c>
      <c r="F872" s="81">
        <v>5266</v>
      </c>
      <c r="G872" s="81" t="s">
        <v>282</v>
      </c>
      <c r="H872" s="81">
        <v>5365</v>
      </c>
      <c r="I872" s="81" t="s">
        <v>627</v>
      </c>
      <c r="J872" s="81">
        <v>3</v>
      </c>
      <c r="K872" s="81">
        <v>116</v>
      </c>
      <c r="L872" s="81" t="s">
        <v>663</v>
      </c>
    </row>
    <row r="873" spans="1:12" ht="15" customHeight="1">
      <c r="A873" s="112">
        <v>11605366</v>
      </c>
      <c r="B873" s="112" t="s">
        <v>2018</v>
      </c>
      <c r="C873" s="81" t="s">
        <v>664</v>
      </c>
      <c r="D873" s="81">
        <v>900</v>
      </c>
      <c r="E873" s="81" t="s">
        <v>264</v>
      </c>
      <c r="F873" s="81">
        <v>5366</v>
      </c>
      <c r="G873" s="81" t="s">
        <v>282</v>
      </c>
      <c r="H873" s="81">
        <v>5465</v>
      </c>
      <c r="I873" s="81" t="s">
        <v>628</v>
      </c>
      <c r="J873" s="81">
        <v>3</v>
      </c>
      <c r="K873" s="81">
        <v>116</v>
      </c>
      <c r="L873" s="81" t="s">
        <v>663</v>
      </c>
    </row>
    <row r="874" spans="1:12" ht="15" customHeight="1">
      <c r="A874" s="112">
        <v>11605466</v>
      </c>
      <c r="B874" s="112" t="s">
        <v>2019</v>
      </c>
      <c r="C874" s="81" t="s">
        <v>664</v>
      </c>
      <c r="D874" s="81">
        <v>900</v>
      </c>
      <c r="E874" s="81" t="s">
        <v>264</v>
      </c>
      <c r="F874" s="81">
        <v>5466</v>
      </c>
      <c r="G874" s="81" t="s">
        <v>282</v>
      </c>
      <c r="H874" s="81">
        <v>5565</v>
      </c>
      <c r="I874" s="81" t="s">
        <v>629</v>
      </c>
      <c r="J874" s="81">
        <v>3</v>
      </c>
      <c r="K874" s="81">
        <v>116</v>
      </c>
      <c r="L874" s="81" t="s">
        <v>663</v>
      </c>
    </row>
    <row r="875" spans="1:12" ht="15" customHeight="1">
      <c r="A875" s="112">
        <v>11605566</v>
      </c>
      <c r="B875" s="112" t="s">
        <v>2020</v>
      </c>
      <c r="C875" s="81" t="s">
        <v>664</v>
      </c>
      <c r="D875" s="81">
        <v>900</v>
      </c>
      <c r="E875" s="81" t="s">
        <v>264</v>
      </c>
      <c r="F875" s="81">
        <v>5566</v>
      </c>
      <c r="G875" s="81" t="s">
        <v>282</v>
      </c>
      <c r="H875" s="81">
        <v>5665</v>
      </c>
      <c r="I875" s="81" t="s">
        <v>630</v>
      </c>
      <c r="J875" s="81">
        <v>3</v>
      </c>
      <c r="K875" s="81">
        <v>116</v>
      </c>
      <c r="L875" s="81" t="s">
        <v>663</v>
      </c>
    </row>
    <row r="876" spans="1:12" ht="15" customHeight="1">
      <c r="A876" s="112">
        <v>11605666</v>
      </c>
      <c r="B876" s="112" t="s">
        <v>2021</v>
      </c>
      <c r="C876" s="81" t="s">
        <v>664</v>
      </c>
      <c r="D876" s="81">
        <v>900</v>
      </c>
      <c r="E876" s="81" t="s">
        <v>264</v>
      </c>
      <c r="F876" s="81">
        <v>5666</v>
      </c>
      <c r="G876" s="81" t="s">
        <v>282</v>
      </c>
      <c r="H876" s="81">
        <v>5765</v>
      </c>
      <c r="I876" s="81" t="s">
        <v>631</v>
      </c>
      <c r="J876" s="81">
        <v>3</v>
      </c>
      <c r="K876" s="81">
        <v>116</v>
      </c>
      <c r="L876" s="81" t="s">
        <v>663</v>
      </c>
    </row>
    <row r="877" spans="1:12" ht="15" customHeight="1">
      <c r="A877" s="112">
        <v>11605766</v>
      </c>
      <c r="B877" s="112" t="s">
        <v>2022</v>
      </c>
      <c r="C877" s="81" t="s">
        <v>664</v>
      </c>
      <c r="D877" s="81">
        <v>900</v>
      </c>
      <c r="E877" s="81" t="s">
        <v>264</v>
      </c>
      <c r="F877" s="81">
        <v>5766</v>
      </c>
      <c r="G877" s="81" t="s">
        <v>282</v>
      </c>
      <c r="H877" s="81">
        <v>5865</v>
      </c>
      <c r="I877" s="81" t="s">
        <v>632</v>
      </c>
      <c r="J877" s="81">
        <v>3</v>
      </c>
      <c r="K877" s="81">
        <v>116</v>
      </c>
      <c r="L877" s="81" t="s">
        <v>663</v>
      </c>
    </row>
    <row r="878" spans="1:12" ht="15" customHeight="1">
      <c r="A878" s="112">
        <v>11605866</v>
      </c>
      <c r="B878" s="112" t="s">
        <v>2023</v>
      </c>
      <c r="C878" s="81" t="s">
        <v>664</v>
      </c>
      <c r="D878" s="81">
        <v>900</v>
      </c>
      <c r="E878" s="81" t="s">
        <v>264</v>
      </c>
      <c r="F878" s="81">
        <v>5866</v>
      </c>
      <c r="G878" s="81" t="s">
        <v>282</v>
      </c>
      <c r="H878" s="81">
        <v>5965</v>
      </c>
      <c r="I878" s="81" t="s">
        <v>633</v>
      </c>
      <c r="J878" s="81">
        <v>3</v>
      </c>
      <c r="K878" s="81">
        <v>116</v>
      </c>
      <c r="L878" s="81" t="s">
        <v>663</v>
      </c>
    </row>
    <row r="879" spans="1:12" ht="15" customHeight="1">
      <c r="A879" s="112">
        <v>11605966</v>
      </c>
      <c r="B879" s="112" t="s">
        <v>2024</v>
      </c>
      <c r="C879" s="81" t="s">
        <v>664</v>
      </c>
      <c r="D879" s="81">
        <v>900</v>
      </c>
      <c r="E879" s="81" t="s">
        <v>264</v>
      </c>
      <c r="F879" s="81">
        <v>5966</v>
      </c>
      <c r="G879" s="81" t="s">
        <v>282</v>
      </c>
      <c r="H879" s="81">
        <v>6065</v>
      </c>
      <c r="I879" s="81" t="s">
        <v>634</v>
      </c>
      <c r="J879" s="81">
        <v>3</v>
      </c>
      <c r="K879" s="81">
        <v>116</v>
      </c>
      <c r="L879" s="81" t="s">
        <v>663</v>
      </c>
    </row>
    <row r="880" spans="1:12" ht="15" customHeight="1">
      <c r="A880" s="112">
        <v>11606066</v>
      </c>
      <c r="B880" s="112" t="s">
        <v>2025</v>
      </c>
      <c r="C880" s="81" t="s">
        <v>664</v>
      </c>
      <c r="D880" s="81">
        <v>900</v>
      </c>
      <c r="E880" s="81" t="s">
        <v>264</v>
      </c>
      <c r="F880" s="81">
        <v>6066</v>
      </c>
      <c r="G880" s="81" t="s">
        <v>282</v>
      </c>
      <c r="H880" s="81">
        <v>6165</v>
      </c>
      <c r="I880" s="81" t="s">
        <v>635</v>
      </c>
      <c r="J880" s="81">
        <v>4</v>
      </c>
      <c r="K880" s="81">
        <v>116</v>
      </c>
      <c r="L880" s="81" t="s">
        <v>663</v>
      </c>
    </row>
    <row r="881" spans="1:12" ht="15" customHeight="1">
      <c r="A881" s="112">
        <v>11606166</v>
      </c>
      <c r="B881" s="112" t="s">
        <v>2026</v>
      </c>
      <c r="C881" s="81" t="s">
        <v>664</v>
      </c>
      <c r="D881" s="81">
        <v>900</v>
      </c>
      <c r="E881" s="81" t="s">
        <v>264</v>
      </c>
      <c r="F881" s="81">
        <v>6166</v>
      </c>
      <c r="G881" s="81" t="s">
        <v>282</v>
      </c>
      <c r="H881" s="81">
        <v>6265</v>
      </c>
      <c r="I881" s="81" t="s">
        <v>636</v>
      </c>
      <c r="J881" s="81">
        <v>4</v>
      </c>
      <c r="K881" s="81">
        <v>116</v>
      </c>
      <c r="L881" s="81" t="s">
        <v>663</v>
      </c>
    </row>
    <row r="882" spans="1:12" ht="15" customHeight="1">
      <c r="A882" s="112">
        <v>11606266</v>
      </c>
      <c r="B882" s="112" t="s">
        <v>2027</v>
      </c>
      <c r="C882" s="81" t="s">
        <v>664</v>
      </c>
      <c r="D882" s="81">
        <v>900</v>
      </c>
      <c r="E882" s="81" t="s">
        <v>264</v>
      </c>
      <c r="F882" s="81">
        <v>6266</v>
      </c>
      <c r="G882" s="81" t="s">
        <v>282</v>
      </c>
      <c r="H882" s="81">
        <v>6365</v>
      </c>
      <c r="I882" s="81" t="s">
        <v>637</v>
      </c>
      <c r="J882" s="81">
        <v>4</v>
      </c>
      <c r="K882" s="81">
        <v>116</v>
      </c>
      <c r="L882" s="81" t="s">
        <v>663</v>
      </c>
    </row>
    <row r="883" spans="1:12" ht="15" customHeight="1">
      <c r="A883" s="112">
        <v>11606366</v>
      </c>
      <c r="B883" s="112" t="s">
        <v>2028</v>
      </c>
      <c r="C883" s="81" t="s">
        <v>664</v>
      </c>
      <c r="D883" s="81">
        <v>900</v>
      </c>
      <c r="E883" s="81" t="s">
        <v>264</v>
      </c>
      <c r="F883" s="81">
        <v>6366</v>
      </c>
      <c r="G883" s="81" t="s">
        <v>282</v>
      </c>
      <c r="H883" s="81">
        <v>6465</v>
      </c>
      <c r="I883" s="81" t="s">
        <v>638</v>
      </c>
      <c r="J883" s="81">
        <v>4</v>
      </c>
      <c r="K883" s="81">
        <v>116</v>
      </c>
      <c r="L883" s="81" t="s">
        <v>663</v>
      </c>
    </row>
    <row r="884" spans="1:12" ht="15" customHeight="1">
      <c r="A884" s="112">
        <v>11606466</v>
      </c>
      <c r="B884" s="112" t="s">
        <v>2029</v>
      </c>
      <c r="C884" s="81" t="s">
        <v>664</v>
      </c>
      <c r="D884" s="81">
        <v>900</v>
      </c>
      <c r="E884" s="81" t="s">
        <v>264</v>
      </c>
      <c r="F884" s="81">
        <v>6466</v>
      </c>
      <c r="G884" s="81" t="s">
        <v>282</v>
      </c>
      <c r="H884" s="81">
        <v>6565</v>
      </c>
      <c r="I884" s="81" t="s">
        <v>639</v>
      </c>
      <c r="J884" s="81">
        <v>4</v>
      </c>
      <c r="K884" s="81">
        <v>116</v>
      </c>
      <c r="L884" s="81" t="s">
        <v>663</v>
      </c>
    </row>
    <row r="885" spans="1:12" ht="15" customHeight="1">
      <c r="A885" s="112">
        <v>11606566</v>
      </c>
      <c r="B885" s="112" t="s">
        <v>2030</v>
      </c>
      <c r="C885" s="81" t="s">
        <v>664</v>
      </c>
      <c r="D885" s="81">
        <v>900</v>
      </c>
      <c r="E885" s="81" t="s">
        <v>264</v>
      </c>
      <c r="F885" s="81">
        <v>6566</v>
      </c>
      <c r="G885" s="81" t="s">
        <v>282</v>
      </c>
      <c r="H885" s="81">
        <v>6665</v>
      </c>
      <c r="I885" s="81" t="s">
        <v>640</v>
      </c>
      <c r="J885" s="81">
        <v>4</v>
      </c>
      <c r="K885" s="81">
        <v>116</v>
      </c>
      <c r="L885" s="81" t="s">
        <v>663</v>
      </c>
    </row>
    <row r="886" spans="1:12" ht="15" customHeight="1">
      <c r="A886" s="112">
        <v>11606666</v>
      </c>
      <c r="B886" s="112" t="s">
        <v>2031</v>
      </c>
      <c r="C886" s="81" t="s">
        <v>664</v>
      </c>
      <c r="D886" s="81">
        <v>900</v>
      </c>
      <c r="E886" s="81" t="s">
        <v>264</v>
      </c>
      <c r="F886" s="81">
        <v>6666</v>
      </c>
      <c r="G886" s="81" t="s">
        <v>282</v>
      </c>
      <c r="H886" s="81">
        <v>6765</v>
      </c>
      <c r="I886" s="81" t="s">
        <v>641</v>
      </c>
      <c r="J886" s="81">
        <v>4</v>
      </c>
      <c r="K886" s="81">
        <v>116</v>
      </c>
      <c r="L886" s="81" t="s">
        <v>663</v>
      </c>
    </row>
    <row r="887" spans="1:12" ht="15" customHeight="1">
      <c r="A887" s="112">
        <v>11606766</v>
      </c>
      <c r="B887" s="112" t="s">
        <v>2032</v>
      </c>
      <c r="C887" s="81" t="s">
        <v>664</v>
      </c>
      <c r="D887" s="81">
        <v>900</v>
      </c>
      <c r="E887" s="81" t="s">
        <v>264</v>
      </c>
      <c r="F887" s="81">
        <v>6766</v>
      </c>
      <c r="G887" s="81" t="s">
        <v>282</v>
      </c>
      <c r="H887" s="81">
        <v>6865</v>
      </c>
      <c r="I887" s="81" t="s">
        <v>642</v>
      </c>
      <c r="J887" s="81">
        <v>4</v>
      </c>
      <c r="K887" s="81">
        <v>116</v>
      </c>
      <c r="L887" s="81" t="s">
        <v>663</v>
      </c>
    </row>
    <row r="888" spans="1:12" ht="15" customHeight="1">
      <c r="A888" s="112">
        <v>11606866</v>
      </c>
      <c r="B888" s="112" t="s">
        <v>2033</v>
      </c>
      <c r="C888" s="81" t="s">
        <v>664</v>
      </c>
      <c r="D888" s="81">
        <v>900</v>
      </c>
      <c r="E888" s="81" t="s">
        <v>264</v>
      </c>
      <c r="F888" s="81">
        <v>6866</v>
      </c>
      <c r="G888" s="81" t="s">
        <v>282</v>
      </c>
      <c r="H888" s="81">
        <v>6965</v>
      </c>
      <c r="I888" s="81" t="s">
        <v>643</v>
      </c>
      <c r="J888" s="81">
        <v>5</v>
      </c>
      <c r="K888" s="81">
        <v>116</v>
      </c>
      <c r="L888" s="81" t="s">
        <v>663</v>
      </c>
    </row>
    <row r="889" spans="1:12" ht="15" customHeight="1">
      <c r="A889" s="112">
        <v>11606966</v>
      </c>
      <c r="B889" s="112" t="s">
        <v>2034</v>
      </c>
      <c r="C889" s="81" t="s">
        <v>664</v>
      </c>
      <c r="D889" s="81">
        <v>900</v>
      </c>
      <c r="E889" s="81" t="s">
        <v>264</v>
      </c>
      <c r="F889" s="81">
        <v>6966</v>
      </c>
      <c r="G889" s="81" t="s">
        <v>282</v>
      </c>
      <c r="H889" s="81">
        <v>7065</v>
      </c>
      <c r="I889" s="81" t="s">
        <v>644</v>
      </c>
      <c r="J889" s="81">
        <v>5</v>
      </c>
      <c r="K889" s="81">
        <v>116</v>
      </c>
      <c r="L889" s="81" t="s">
        <v>663</v>
      </c>
    </row>
    <row r="890" spans="1:12" ht="15" customHeight="1">
      <c r="A890" s="112">
        <v>11607066</v>
      </c>
      <c r="B890" s="112" t="s">
        <v>2035</v>
      </c>
      <c r="C890" s="81" t="s">
        <v>664</v>
      </c>
      <c r="D890" s="81">
        <v>900</v>
      </c>
      <c r="E890" s="81" t="s">
        <v>264</v>
      </c>
      <c r="F890" s="81">
        <v>7066</v>
      </c>
      <c r="G890" s="81" t="s">
        <v>282</v>
      </c>
      <c r="H890" s="81">
        <v>7165</v>
      </c>
      <c r="I890" s="81" t="s">
        <v>645</v>
      </c>
      <c r="J890" s="81">
        <v>5</v>
      </c>
      <c r="K890" s="81">
        <v>116</v>
      </c>
      <c r="L890" s="81" t="s">
        <v>663</v>
      </c>
    </row>
    <row r="891" spans="1:12" ht="15" customHeight="1">
      <c r="A891" s="112">
        <v>11607166</v>
      </c>
      <c r="B891" s="112" t="s">
        <v>2036</v>
      </c>
      <c r="C891" s="81" t="s">
        <v>664</v>
      </c>
      <c r="D891" s="81">
        <v>900</v>
      </c>
      <c r="E891" s="81" t="s">
        <v>264</v>
      </c>
      <c r="F891" s="81">
        <v>7166</v>
      </c>
      <c r="G891" s="81" t="s">
        <v>282</v>
      </c>
      <c r="H891" s="81">
        <v>7265</v>
      </c>
      <c r="I891" s="81" t="s">
        <v>646</v>
      </c>
      <c r="J891" s="81">
        <v>5</v>
      </c>
      <c r="K891" s="81">
        <v>116</v>
      </c>
      <c r="L891" s="81" t="s">
        <v>663</v>
      </c>
    </row>
    <row r="892" spans="1:12" ht="15" customHeight="1">
      <c r="A892" s="112">
        <v>11607266</v>
      </c>
      <c r="B892" s="112" t="s">
        <v>2037</v>
      </c>
      <c r="C892" s="81" t="s">
        <v>664</v>
      </c>
      <c r="D892" s="81">
        <v>900</v>
      </c>
      <c r="E892" s="81" t="s">
        <v>264</v>
      </c>
      <c r="F892" s="81">
        <v>7266</v>
      </c>
      <c r="G892" s="81" t="s">
        <v>282</v>
      </c>
      <c r="H892" s="81">
        <v>7365</v>
      </c>
      <c r="I892" s="81" t="s">
        <v>647</v>
      </c>
      <c r="J892" s="81">
        <v>5</v>
      </c>
      <c r="K892" s="81">
        <v>116</v>
      </c>
      <c r="L892" s="81" t="s">
        <v>663</v>
      </c>
    </row>
    <row r="893" spans="1:12" ht="15" customHeight="1">
      <c r="A893" s="112">
        <v>11607366</v>
      </c>
      <c r="B893" s="112" t="s">
        <v>2038</v>
      </c>
      <c r="C893" s="81" t="s">
        <v>664</v>
      </c>
      <c r="D893" s="81">
        <v>900</v>
      </c>
      <c r="E893" s="81" t="s">
        <v>264</v>
      </c>
      <c r="F893" s="81">
        <v>7366</v>
      </c>
      <c r="G893" s="81" t="s">
        <v>282</v>
      </c>
      <c r="H893" s="81">
        <v>7465</v>
      </c>
      <c r="I893" s="81" t="s">
        <v>648</v>
      </c>
      <c r="J893" s="81">
        <v>5</v>
      </c>
      <c r="K893" s="81">
        <v>116</v>
      </c>
      <c r="L893" s="81" t="s">
        <v>663</v>
      </c>
    </row>
    <row r="894" spans="1:12" ht="15" customHeight="1">
      <c r="A894" s="112">
        <v>11607466</v>
      </c>
      <c r="B894" s="112" t="s">
        <v>2039</v>
      </c>
      <c r="C894" s="81" t="s">
        <v>664</v>
      </c>
      <c r="D894" s="81">
        <v>900</v>
      </c>
      <c r="E894" s="81" t="s">
        <v>264</v>
      </c>
      <c r="F894" s="81">
        <v>7466</v>
      </c>
      <c r="G894" s="81" t="s">
        <v>282</v>
      </c>
      <c r="H894" s="81">
        <v>7565</v>
      </c>
      <c r="I894" s="81" t="s">
        <v>649</v>
      </c>
      <c r="J894" s="81">
        <v>5</v>
      </c>
      <c r="K894" s="81">
        <v>116</v>
      </c>
      <c r="L894" s="81" t="s">
        <v>663</v>
      </c>
    </row>
    <row r="895" spans="1:12" ht="15" customHeight="1">
      <c r="A895" s="112">
        <v>11607566</v>
      </c>
      <c r="B895" s="112" t="s">
        <v>2040</v>
      </c>
      <c r="C895" s="81" t="s">
        <v>664</v>
      </c>
      <c r="D895" s="81">
        <v>900</v>
      </c>
      <c r="E895" s="81" t="s">
        <v>264</v>
      </c>
      <c r="F895" s="81">
        <v>7566</v>
      </c>
      <c r="G895" s="81" t="s">
        <v>282</v>
      </c>
      <c r="H895" s="81">
        <v>7665</v>
      </c>
      <c r="I895" s="81" t="s">
        <v>650</v>
      </c>
      <c r="J895" s="81">
        <v>5</v>
      </c>
      <c r="K895" s="81">
        <v>116</v>
      </c>
      <c r="L895" s="81" t="s">
        <v>663</v>
      </c>
    </row>
    <row r="896" spans="1:12" ht="15" customHeight="1">
      <c r="A896" s="112">
        <v>11607666</v>
      </c>
      <c r="B896" s="112" t="s">
        <v>2041</v>
      </c>
      <c r="C896" s="81" t="s">
        <v>664</v>
      </c>
      <c r="D896" s="81">
        <v>900</v>
      </c>
      <c r="E896" s="81" t="s">
        <v>264</v>
      </c>
      <c r="F896" s="81">
        <v>7666</v>
      </c>
      <c r="G896" s="81" t="s">
        <v>282</v>
      </c>
      <c r="H896" s="81">
        <v>7765</v>
      </c>
      <c r="I896" s="81" t="s">
        <v>651</v>
      </c>
      <c r="J896" s="81">
        <v>6</v>
      </c>
      <c r="K896" s="81">
        <v>116</v>
      </c>
      <c r="L896" s="81" t="s">
        <v>663</v>
      </c>
    </row>
    <row r="897" spans="1:12" ht="15" customHeight="1">
      <c r="A897" s="112">
        <v>11607766</v>
      </c>
      <c r="B897" s="112" t="s">
        <v>2042</v>
      </c>
      <c r="C897" s="81" t="s">
        <v>664</v>
      </c>
      <c r="D897" s="81">
        <v>900</v>
      </c>
      <c r="E897" s="81" t="s">
        <v>264</v>
      </c>
      <c r="F897" s="81">
        <v>7766</v>
      </c>
      <c r="G897" s="81" t="s">
        <v>282</v>
      </c>
      <c r="H897" s="81">
        <v>7865</v>
      </c>
      <c r="I897" s="81" t="s">
        <v>652</v>
      </c>
      <c r="J897" s="81">
        <v>6</v>
      </c>
      <c r="K897" s="81">
        <v>116</v>
      </c>
      <c r="L897" s="81" t="s">
        <v>663</v>
      </c>
    </row>
    <row r="898" spans="1:12" ht="15" customHeight="1">
      <c r="A898" s="112">
        <v>11607866</v>
      </c>
      <c r="B898" s="112" t="s">
        <v>2043</v>
      </c>
      <c r="C898" s="81" t="s">
        <v>664</v>
      </c>
      <c r="D898" s="81">
        <v>900</v>
      </c>
      <c r="E898" s="81" t="s">
        <v>264</v>
      </c>
      <c r="F898" s="81">
        <v>7866</v>
      </c>
      <c r="G898" s="81" t="s">
        <v>282</v>
      </c>
      <c r="H898" s="81">
        <v>7965</v>
      </c>
      <c r="I898" s="81" t="s">
        <v>653</v>
      </c>
      <c r="J898" s="81">
        <v>6</v>
      </c>
      <c r="K898" s="81">
        <v>116</v>
      </c>
      <c r="L898" s="81" t="s">
        <v>663</v>
      </c>
    </row>
    <row r="899" spans="1:12" ht="15" customHeight="1">
      <c r="A899" s="112">
        <v>11607966</v>
      </c>
      <c r="B899" s="112" t="s">
        <v>2044</v>
      </c>
      <c r="C899" s="81" t="s">
        <v>664</v>
      </c>
      <c r="D899" s="81">
        <v>900</v>
      </c>
      <c r="E899" s="81" t="s">
        <v>264</v>
      </c>
      <c r="F899" s="81">
        <v>7966</v>
      </c>
      <c r="G899" s="81" t="s">
        <v>282</v>
      </c>
      <c r="H899" s="81">
        <v>8065</v>
      </c>
      <c r="I899" s="81" t="s">
        <v>654</v>
      </c>
      <c r="J899" s="81">
        <v>6</v>
      </c>
      <c r="K899" s="81">
        <v>116</v>
      </c>
      <c r="L899" s="81" t="s">
        <v>663</v>
      </c>
    </row>
    <row r="900" spans="1:12" ht="15" customHeight="1">
      <c r="A900" s="112">
        <v>11700000</v>
      </c>
      <c r="B900" s="112" t="s">
        <v>2045</v>
      </c>
      <c r="C900" s="81" t="s">
        <v>665</v>
      </c>
      <c r="D900" s="81">
        <v>1100</v>
      </c>
      <c r="E900" s="81" t="s">
        <v>596</v>
      </c>
      <c r="F900" s="81">
        <v>0</v>
      </c>
      <c r="G900" s="81" t="s">
        <v>282</v>
      </c>
      <c r="H900" s="81">
        <v>2645</v>
      </c>
      <c r="I900" s="81" t="s">
        <v>597</v>
      </c>
      <c r="J900" s="81">
        <v>0</v>
      </c>
      <c r="K900" s="81">
        <v>117</v>
      </c>
      <c r="L900" s="81" t="s">
        <v>663</v>
      </c>
    </row>
    <row r="901" spans="1:12" ht="15" customHeight="1">
      <c r="A901" s="112">
        <v>11702646</v>
      </c>
      <c r="B901" s="112" t="s">
        <v>2046</v>
      </c>
      <c r="C901" s="81" t="s">
        <v>665</v>
      </c>
      <c r="D901" s="81">
        <v>1100</v>
      </c>
      <c r="E901" s="81" t="s">
        <v>596</v>
      </c>
      <c r="F901" s="81">
        <v>2646</v>
      </c>
      <c r="G901" s="81" t="s">
        <v>282</v>
      </c>
      <c r="H901" s="81">
        <v>2715</v>
      </c>
      <c r="I901" s="81" t="s">
        <v>599</v>
      </c>
      <c r="J901" s="81">
        <v>0</v>
      </c>
      <c r="K901" s="81">
        <v>117</v>
      </c>
      <c r="L901" s="81" t="s">
        <v>663</v>
      </c>
    </row>
    <row r="902" spans="1:12" ht="15" customHeight="1">
      <c r="A902" s="112">
        <v>11702716</v>
      </c>
      <c r="B902" s="112" t="s">
        <v>2047</v>
      </c>
      <c r="C902" s="81" t="s">
        <v>665</v>
      </c>
      <c r="D902" s="81">
        <v>1100</v>
      </c>
      <c r="E902" s="81" t="s">
        <v>596</v>
      </c>
      <c r="F902" s="81">
        <v>2716</v>
      </c>
      <c r="G902" s="81" t="s">
        <v>282</v>
      </c>
      <c r="H902" s="81">
        <v>2765</v>
      </c>
      <c r="I902" s="81" t="s">
        <v>600</v>
      </c>
      <c r="J902" s="81">
        <v>0</v>
      </c>
      <c r="K902" s="81">
        <v>117</v>
      </c>
      <c r="L902" s="81" t="s">
        <v>663</v>
      </c>
    </row>
    <row r="903" spans="1:12" ht="15" customHeight="1">
      <c r="A903" s="112">
        <v>11702766</v>
      </c>
      <c r="B903" s="112" t="s">
        <v>2048</v>
      </c>
      <c r="C903" s="81" t="s">
        <v>665</v>
      </c>
      <c r="D903" s="81">
        <v>1100</v>
      </c>
      <c r="E903" s="81" t="s">
        <v>596</v>
      </c>
      <c r="F903" s="81">
        <v>2766</v>
      </c>
      <c r="G903" s="81" t="s">
        <v>282</v>
      </c>
      <c r="H903" s="81">
        <v>2865</v>
      </c>
      <c r="I903" s="81" t="s">
        <v>602</v>
      </c>
      <c r="J903" s="81">
        <v>0</v>
      </c>
      <c r="K903" s="81">
        <v>117</v>
      </c>
      <c r="L903" s="81" t="s">
        <v>663</v>
      </c>
    </row>
    <row r="904" spans="1:12" ht="15" customHeight="1">
      <c r="A904" s="112">
        <v>11702866</v>
      </c>
      <c r="B904" s="112" t="s">
        <v>2049</v>
      </c>
      <c r="C904" s="81" t="s">
        <v>665</v>
      </c>
      <c r="D904" s="81">
        <v>1100</v>
      </c>
      <c r="E904" s="81" t="s">
        <v>596</v>
      </c>
      <c r="F904" s="81">
        <v>2866</v>
      </c>
      <c r="G904" s="81" t="s">
        <v>282</v>
      </c>
      <c r="H904" s="81">
        <v>2965</v>
      </c>
      <c r="I904" s="81" t="s">
        <v>603</v>
      </c>
      <c r="J904" s="81">
        <v>0</v>
      </c>
      <c r="K904" s="81">
        <v>117</v>
      </c>
      <c r="L904" s="81" t="s">
        <v>663</v>
      </c>
    </row>
    <row r="905" spans="1:12" ht="15" customHeight="1">
      <c r="A905" s="112">
        <v>11702966</v>
      </c>
      <c r="B905" s="112" t="s">
        <v>2050</v>
      </c>
      <c r="C905" s="81" t="s">
        <v>665</v>
      </c>
      <c r="D905" s="81">
        <v>1100</v>
      </c>
      <c r="E905" s="81" t="s">
        <v>596</v>
      </c>
      <c r="F905" s="81">
        <v>2966</v>
      </c>
      <c r="G905" s="81" t="s">
        <v>282</v>
      </c>
      <c r="H905" s="81">
        <v>3065</v>
      </c>
      <c r="I905" s="81" t="s">
        <v>604</v>
      </c>
      <c r="J905" s="81">
        <v>0</v>
      </c>
      <c r="K905" s="81">
        <v>117</v>
      </c>
      <c r="L905" s="81" t="s">
        <v>663</v>
      </c>
    </row>
    <row r="906" spans="1:12" ht="15" customHeight="1">
      <c r="A906" s="112">
        <v>11703066</v>
      </c>
      <c r="B906" s="112" t="s">
        <v>2051</v>
      </c>
      <c r="C906" s="81" t="s">
        <v>665</v>
      </c>
      <c r="D906" s="81">
        <v>1100</v>
      </c>
      <c r="E906" s="81" t="s">
        <v>596</v>
      </c>
      <c r="F906" s="81">
        <v>3066</v>
      </c>
      <c r="G906" s="81" t="s">
        <v>282</v>
      </c>
      <c r="H906" s="81">
        <v>3165</v>
      </c>
      <c r="I906" s="81" t="s">
        <v>605</v>
      </c>
      <c r="J906" s="81">
        <v>0</v>
      </c>
      <c r="K906" s="81">
        <v>117</v>
      </c>
      <c r="L906" s="81" t="s">
        <v>663</v>
      </c>
    </row>
    <row r="907" spans="1:12" ht="15" customHeight="1">
      <c r="A907" s="112">
        <v>11703166</v>
      </c>
      <c r="B907" s="112" t="s">
        <v>2052</v>
      </c>
      <c r="C907" s="81" t="s">
        <v>665</v>
      </c>
      <c r="D907" s="81">
        <v>1100</v>
      </c>
      <c r="E907" s="81" t="s">
        <v>596</v>
      </c>
      <c r="F907" s="81">
        <v>3166</v>
      </c>
      <c r="G907" s="81" t="s">
        <v>282</v>
      </c>
      <c r="H907" s="81">
        <v>3265</v>
      </c>
      <c r="I907" s="81" t="s">
        <v>606</v>
      </c>
      <c r="J907" s="81">
        <v>0</v>
      </c>
      <c r="K907" s="81">
        <v>117</v>
      </c>
      <c r="L907" s="81" t="s">
        <v>663</v>
      </c>
    </row>
    <row r="908" spans="1:12" ht="15" customHeight="1">
      <c r="A908" s="112">
        <v>11703266</v>
      </c>
      <c r="B908" s="112" t="s">
        <v>2053</v>
      </c>
      <c r="C908" s="81" t="s">
        <v>665</v>
      </c>
      <c r="D908" s="81">
        <v>1100</v>
      </c>
      <c r="E908" s="81" t="s">
        <v>596</v>
      </c>
      <c r="F908" s="81">
        <v>3266</v>
      </c>
      <c r="G908" s="81" t="s">
        <v>282</v>
      </c>
      <c r="H908" s="81">
        <v>3365</v>
      </c>
      <c r="I908" s="81" t="s">
        <v>607</v>
      </c>
      <c r="J908" s="81">
        <v>0</v>
      </c>
      <c r="K908" s="81">
        <v>117</v>
      </c>
      <c r="L908" s="81" t="s">
        <v>663</v>
      </c>
    </row>
    <row r="909" spans="1:12" ht="15" customHeight="1">
      <c r="A909" s="112">
        <v>11703366</v>
      </c>
      <c r="B909" s="112" t="s">
        <v>2054</v>
      </c>
      <c r="C909" s="81" t="s">
        <v>665</v>
      </c>
      <c r="D909" s="81">
        <v>1100</v>
      </c>
      <c r="E909" s="81" t="s">
        <v>596</v>
      </c>
      <c r="F909" s="81">
        <v>3366</v>
      </c>
      <c r="G909" s="81" t="s">
        <v>282</v>
      </c>
      <c r="H909" s="81">
        <v>3465</v>
      </c>
      <c r="I909" s="81" t="s">
        <v>608</v>
      </c>
      <c r="J909" s="81">
        <v>0</v>
      </c>
      <c r="K909" s="81">
        <v>117</v>
      </c>
      <c r="L909" s="81" t="s">
        <v>663</v>
      </c>
    </row>
    <row r="910" spans="1:12" ht="15" customHeight="1">
      <c r="A910" s="112">
        <v>11703466</v>
      </c>
      <c r="B910" s="112" t="s">
        <v>2055</v>
      </c>
      <c r="C910" s="81" t="s">
        <v>665</v>
      </c>
      <c r="D910" s="81">
        <v>1100</v>
      </c>
      <c r="E910" s="81" t="s">
        <v>596</v>
      </c>
      <c r="F910" s="81">
        <v>3466</v>
      </c>
      <c r="G910" s="81" t="s">
        <v>282</v>
      </c>
      <c r="H910" s="81">
        <v>3565</v>
      </c>
      <c r="I910" s="81" t="s">
        <v>609</v>
      </c>
      <c r="J910" s="81">
        <v>0</v>
      </c>
      <c r="K910" s="81">
        <v>117</v>
      </c>
      <c r="L910" s="81" t="s">
        <v>663</v>
      </c>
    </row>
    <row r="911" spans="1:12" ht="15" customHeight="1">
      <c r="A911" s="112">
        <v>11703566</v>
      </c>
      <c r="B911" s="112" t="s">
        <v>2056</v>
      </c>
      <c r="C911" s="81" t="s">
        <v>665</v>
      </c>
      <c r="D911" s="81">
        <v>1100</v>
      </c>
      <c r="E911" s="81" t="s">
        <v>596</v>
      </c>
      <c r="F911" s="81">
        <v>3566</v>
      </c>
      <c r="G911" s="81" t="s">
        <v>282</v>
      </c>
      <c r="H911" s="81">
        <v>3665</v>
      </c>
      <c r="I911" s="81" t="s">
        <v>610</v>
      </c>
      <c r="J911" s="81">
        <v>0</v>
      </c>
      <c r="K911" s="81">
        <v>117</v>
      </c>
      <c r="L911" s="81" t="s">
        <v>663</v>
      </c>
    </row>
    <row r="912" spans="1:12" ht="15" customHeight="1">
      <c r="A912" s="112">
        <v>11703666</v>
      </c>
      <c r="B912" s="112" t="s">
        <v>2057</v>
      </c>
      <c r="C912" s="81" t="s">
        <v>665</v>
      </c>
      <c r="D912" s="81">
        <v>1100</v>
      </c>
      <c r="E912" s="81" t="s">
        <v>596</v>
      </c>
      <c r="F912" s="81">
        <v>3666</v>
      </c>
      <c r="G912" s="81" t="s">
        <v>282</v>
      </c>
      <c r="H912" s="81">
        <v>3765</v>
      </c>
      <c r="I912" s="81" t="s">
        <v>611</v>
      </c>
      <c r="J912" s="81">
        <v>1</v>
      </c>
      <c r="K912" s="81">
        <v>117</v>
      </c>
      <c r="L912" s="81" t="s">
        <v>663</v>
      </c>
    </row>
    <row r="913" spans="1:12" ht="15" customHeight="1">
      <c r="A913" s="112">
        <v>11703766</v>
      </c>
      <c r="B913" s="112" t="s">
        <v>2058</v>
      </c>
      <c r="C913" s="81" t="s">
        <v>665</v>
      </c>
      <c r="D913" s="81">
        <v>1100</v>
      </c>
      <c r="E913" s="81" t="s">
        <v>596</v>
      </c>
      <c r="F913" s="81">
        <v>3766</v>
      </c>
      <c r="G913" s="81" t="s">
        <v>282</v>
      </c>
      <c r="H913" s="81">
        <v>3865</v>
      </c>
      <c r="I913" s="81" t="s">
        <v>612</v>
      </c>
      <c r="J913" s="81">
        <v>1</v>
      </c>
      <c r="K913" s="81">
        <v>117</v>
      </c>
      <c r="L913" s="81" t="s">
        <v>663</v>
      </c>
    </row>
    <row r="914" spans="1:12" ht="15" customHeight="1">
      <c r="A914" s="112">
        <v>11703866</v>
      </c>
      <c r="B914" s="112" t="s">
        <v>2059</v>
      </c>
      <c r="C914" s="81" t="s">
        <v>665</v>
      </c>
      <c r="D914" s="81">
        <v>1100</v>
      </c>
      <c r="E914" s="81" t="s">
        <v>596</v>
      </c>
      <c r="F914" s="81">
        <v>3866</v>
      </c>
      <c r="G914" s="81" t="s">
        <v>282</v>
      </c>
      <c r="H914" s="81">
        <v>3965</v>
      </c>
      <c r="I914" s="81" t="s">
        <v>613</v>
      </c>
      <c r="J914" s="81">
        <v>1</v>
      </c>
      <c r="K914" s="81">
        <v>117</v>
      </c>
      <c r="L914" s="81" t="s">
        <v>663</v>
      </c>
    </row>
    <row r="915" spans="1:12" ht="15" customHeight="1">
      <c r="A915" s="112">
        <v>11703966</v>
      </c>
      <c r="B915" s="112" t="s">
        <v>2060</v>
      </c>
      <c r="C915" s="81" t="s">
        <v>665</v>
      </c>
      <c r="D915" s="81">
        <v>1100</v>
      </c>
      <c r="E915" s="81" t="s">
        <v>596</v>
      </c>
      <c r="F915" s="81">
        <v>3966</v>
      </c>
      <c r="G915" s="81" t="s">
        <v>282</v>
      </c>
      <c r="H915" s="81">
        <v>4065</v>
      </c>
      <c r="I915" s="81" t="s">
        <v>614</v>
      </c>
      <c r="J915" s="81">
        <v>1</v>
      </c>
      <c r="K915" s="81">
        <v>117</v>
      </c>
      <c r="L915" s="81" t="s">
        <v>663</v>
      </c>
    </row>
    <row r="916" spans="1:12" ht="15" customHeight="1">
      <c r="A916" s="112">
        <v>11704066</v>
      </c>
      <c r="B916" s="112" t="s">
        <v>2061</v>
      </c>
      <c r="C916" s="81" t="s">
        <v>665</v>
      </c>
      <c r="D916" s="81">
        <v>1100</v>
      </c>
      <c r="E916" s="81" t="s">
        <v>596</v>
      </c>
      <c r="F916" s="81">
        <v>4066</v>
      </c>
      <c r="G916" s="81" t="s">
        <v>282</v>
      </c>
      <c r="H916" s="81">
        <v>4165</v>
      </c>
      <c r="I916" s="81" t="s">
        <v>615</v>
      </c>
      <c r="J916" s="81">
        <v>1</v>
      </c>
      <c r="K916" s="81">
        <v>117</v>
      </c>
      <c r="L916" s="81" t="s">
        <v>663</v>
      </c>
    </row>
    <row r="917" spans="1:12" ht="15" customHeight="1">
      <c r="A917" s="112">
        <v>11704166</v>
      </c>
      <c r="B917" s="112" t="s">
        <v>2062</v>
      </c>
      <c r="C917" s="81" t="s">
        <v>665</v>
      </c>
      <c r="D917" s="81">
        <v>1100</v>
      </c>
      <c r="E917" s="81" t="s">
        <v>596</v>
      </c>
      <c r="F917" s="81">
        <v>4166</v>
      </c>
      <c r="G917" s="81" t="s">
        <v>282</v>
      </c>
      <c r="H917" s="81">
        <v>4265</v>
      </c>
      <c r="I917" s="81" t="s">
        <v>616</v>
      </c>
      <c r="J917" s="81">
        <v>1</v>
      </c>
      <c r="K917" s="81">
        <v>117</v>
      </c>
      <c r="L917" s="81" t="s">
        <v>663</v>
      </c>
    </row>
    <row r="918" spans="1:12" ht="15" customHeight="1">
      <c r="A918" s="112">
        <v>11704266</v>
      </c>
      <c r="B918" s="112" t="s">
        <v>2063</v>
      </c>
      <c r="C918" s="81" t="s">
        <v>665</v>
      </c>
      <c r="D918" s="81">
        <v>1100</v>
      </c>
      <c r="E918" s="81" t="s">
        <v>596</v>
      </c>
      <c r="F918" s="81">
        <v>4266</v>
      </c>
      <c r="G918" s="81" t="s">
        <v>282</v>
      </c>
      <c r="H918" s="81">
        <v>4365</v>
      </c>
      <c r="I918" s="81" t="s">
        <v>617</v>
      </c>
      <c r="J918" s="81">
        <v>1</v>
      </c>
      <c r="K918" s="81">
        <v>117</v>
      </c>
      <c r="L918" s="81" t="s">
        <v>663</v>
      </c>
    </row>
    <row r="919" spans="1:12" ht="15" customHeight="1">
      <c r="A919" s="112">
        <v>11704366</v>
      </c>
      <c r="B919" s="112" t="s">
        <v>2064</v>
      </c>
      <c r="C919" s="81" t="s">
        <v>665</v>
      </c>
      <c r="D919" s="81">
        <v>1100</v>
      </c>
      <c r="E919" s="81" t="s">
        <v>596</v>
      </c>
      <c r="F919" s="81">
        <v>4366</v>
      </c>
      <c r="G919" s="81" t="s">
        <v>282</v>
      </c>
      <c r="H919" s="81">
        <v>4465</v>
      </c>
      <c r="I919" s="81" t="s">
        <v>618</v>
      </c>
      <c r="J919" s="81">
        <v>1</v>
      </c>
      <c r="K919" s="81">
        <v>117</v>
      </c>
      <c r="L919" s="81" t="s">
        <v>663</v>
      </c>
    </row>
    <row r="920" spans="1:12" ht="15" customHeight="1">
      <c r="A920" s="112">
        <v>11704466</v>
      </c>
      <c r="B920" s="112" t="s">
        <v>2065</v>
      </c>
      <c r="C920" s="81" t="s">
        <v>665</v>
      </c>
      <c r="D920" s="81">
        <v>1100</v>
      </c>
      <c r="E920" s="81" t="s">
        <v>596</v>
      </c>
      <c r="F920" s="81">
        <v>4466</v>
      </c>
      <c r="G920" s="81" t="s">
        <v>282</v>
      </c>
      <c r="H920" s="81">
        <v>4565</v>
      </c>
      <c r="I920" s="81" t="s">
        <v>619</v>
      </c>
      <c r="J920" s="81">
        <v>2</v>
      </c>
      <c r="K920" s="81">
        <v>117</v>
      </c>
      <c r="L920" s="81" t="s">
        <v>663</v>
      </c>
    </row>
    <row r="921" spans="1:12" ht="15" customHeight="1">
      <c r="A921" s="112">
        <v>11704566</v>
      </c>
      <c r="B921" s="112" t="s">
        <v>2066</v>
      </c>
      <c r="C921" s="81" t="s">
        <v>665</v>
      </c>
      <c r="D921" s="81">
        <v>1100</v>
      </c>
      <c r="E921" s="81" t="s">
        <v>596</v>
      </c>
      <c r="F921" s="81">
        <v>4566</v>
      </c>
      <c r="G921" s="81" t="s">
        <v>282</v>
      </c>
      <c r="H921" s="81">
        <v>4665</v>
      </c>
      <c r="I921" s="81" t="s">
        <v>620</v>
      </c>
      <c r="J921" s="81">
        <v>2</v>
      </c>
      <c r="K921" s="81">
        <v>117</v>
      </c>
      <c r="L921" s="81" t="s">
        <v>663</v>
      </c>
    </row>
    <row r="922" spans="1:12" ht="15" customHeight="1">
      <c r="A922" s="112">
        <v>11704666</v>
      </c>
      <c r="B922" s="112" t="s">
        <v>2067</v>
      </c>
      <c r="C922" s="81" t="s">
        <v>665</v>
      </c>
      <c r="D922" s="81">
        <v>1100</v>
      </c>
      <c r="E922" s="81" t="s">
        <v>596</v>
      </c>
      <c r="F922" s="81">
        <v>4666</v>
      </c>
      <c r="G922" s="81" t="s">
        <v>282</v>
      </c>
      <c r="H922" s="81">
        <v>4765</v>
      </c>
      <c r="I922" s="81" t="s">
        <v>621</v>
      </c>
      <c r="J922" s="81">
        <v>2</v>
      </c>
      <c r="K922" s="81">
        <v>117</v>
      </c>
      <c r="L922" s="81" t="s">
        <v>663</v>
      </c>
    </row>
    <row r="923" spans="1:12" ht="15" customHeight="1">
      <c r="A923" s="112">
        <v>11704766</v>
      </c>
      <c r="B923" s="112" t="s">
        <v>2068</v>
      </c>
      <c r="C923" s="81" t="s">
        <v>665</v>
      </c>
      <c r="D923" s="81">
        <v>1100</v>
      </c>
      <c r="E923" s="81" t="s">
        <v>596</v>
      </c>
      <c r="F923" s="81">
        <v>4766</v>
      </c>
      <c r="G923" s="81" t="s">
        <v>282</v>
      </c>
      <c r="H923" s="81">
        <v>4865</v>
      </c>
      <c r="I923" s="81" t="s">
        <v>622</v>
      </c>
      <c r="J923" s="81">
        <v>2</v>
      </c>
      <c r="K923" s="81">
        <v>117</v>
      </c>
      <c r="L923" s="81" t="s">
        <v>663</v>
      </c>
    </row>
    <row r="924" spans="1:12" ht="15" customHeight="1">
      <c r="A924" s="112">
        <v>11704866</v>
      </c>
      <c r="B924" s="112" t="s">
        <v>2069</v>
      </c>
      <c r="C924" s="81" t="s">
        <v>665</v>
      </c>
      <c r="D924" s="81">
        <v>1100</v>
      </c>
      <c r="E924" s="81" t="s">
        <v>596</v>
      </c>
      <c r="F924" s="81">
        <v>4866</v>
      </c>
      <c r="G924" s="81" t="s">
        <v>282</v>
      </c>
      <c r="H924" s="81">
        <v>4965</v>
      </c>
      <c r="I924" s="81" t="s">
        <v>623</v>
      </c>
      <c r="J924" s="81">
        <v>2</v>
      </c>
      <c r="K924" s="81">
        <v>117</v>
      </c>
      <c r="L924" s="81" t="s">
        <v>663</v>
      </c>
    </row>
    <row r="925" spans="1:12" ht="15" customHeight="1">
      <c r="A925" s="112">
        <v>11704966</v>
      </c>
      <c r="B925" s="112" t="s">
        <v>2070</v>
      </c>
      <c r="C925" s="81" t="s">
        <v>665</v>
      </c>
      <c r="D925" s="81">
        <v>1100</v>
      </c>
      <c r="E925" s="81" t="s">
        <v>596</v>
      </c>
      <c r="F925" s="81">
        <v>4966</v>
      </c>
      <c r="G925" s="81" t="s">
        <v>282</v>
      </c>
      <c r="H925" s="81">
        <v>5065</v>
      </c>
      <c r="I925" s="81" t="s">
        <v>624</v>
      </c>
      <c r="J925" s="81">
        <v>2</v>
      </c>
      <c r="K925" s="81">
        <v>117</v>
      </c>
      <c r="L925" s="81" t="s">
        <v>663</v>
      </c>
    </row>
    <row r="926" spans="1:12" ht="15" customHeight="1">
      <c r="A926" s="112">
        <v>11705066</v>
      </c>
      <c r="B926" s="112" t="s">
        <v>2071</v>
      </c>
      <c r="C926" s="81" t="s">
        <v>665</v>
      </c>
      <c r="D926" s="81">
        <v>1100</v>
      </c>
      <c r="E926" s="81" t="s">
        <v>596</v>
      </c>
      <c r="F926" s="81">
        <v>5066</v>
      </c>
      <c r="G926" s="81" t="s">
        <v>282</v>
      </c>
      <c r="H926" s="81">
        <v>5165</v>
      </c>
      <c r="I926" s="81" t="s">
        <v>625</v>
      </c>
      <c r="J926" s="81">
        <v>2</v>
      </c>
      <c r="K926" s="81">
        <v>117</v>
      </c>
      <c r="L926" s="81" t="s">
        <v>663</v>
      </c>
    </row>
    <row r="927" spans="1:12" ht="15" customHeight="1">
      <c r="A927" s="112">
        <v>11705166</v>
      </c>
      <c r="B927" s="112" t="s">
        <v>2072</v>
      </c>
      <c r="C927" s="81" t="s">
        <v>665</v>
      </c>
      <c r="D927" s="81">
        <v>1100</v>
      </c>
      <c r="E927" s="81" t="s">
        <v>596</v>
      </c>
      <c r="F927" s="81">
        <v>5166</v>
      </c>
      <c r="G927" s="81" t="s">
        <v>282</v>
      </c>
      <c r="H927" s="81">
        <v>5265</v>
      </c>
      <c r="I927" s="81" t="s">
        <v>626</v>
      </c>
      <c r="J927" s="81">
        <v>2</v>
      </c>
      <c r="K927" s="81">
        <v>117</v>
      </c>
      <c r="L927" s="81" t="s">
        <v>663</v>
      </c>
    </row>
    <row r="928" spans="1:12" ht="15" customHeight="1">
      <c r="A928" s="112">
        <v>11705266</v>
      </c>
      <c r="B928" s="112" t="s">
        <v>2073</v>
      </c>
      <c r="C928" s="81" t="s">
        <v>665</v>
      </c>
      <c r="D928" s="81">
        <v>1100</v>
      </c>
      <c r="E928" s="81" t="s">
        <v>596</v>
      </c>
      <c r="F928" s="81">
        <v>5266</v>
      </c>
      <c r="G928" s="81" t="s">
        <v>282</v>
      </c>
      <c r="H928" s="81">
        <v>5365</v>
      </c>
      <c r="I928" s="81" t="s">
        <v>627</v>
      </c>
      <c r="J928" s="81">
        <v>3</v>
      </c>
      <c r="K928" s="81">
        <v>117</v>
      </c>
      <c r="L928" s="81" t="s">
        <v>663</v>
      </c>
    </row>
    <row r="929" spans="1:12" ht="15" customHeight="1">
      <c r="A929" s="112">
        <v>11705366</v>
      </c>
      <c r="B929" s="112" t="s">
        <v>2074</v>
      </c>
      <c r="C929" s="81" t="s">
        <v>665</v>
      </c>
      <c r="D929" s="81">
        <v>1100</v>
      </c>
      <c r="E929" s="81" t="s">
        <v>596</v>
      </c>
      <c r="F929" s="81">
        <v>5366</v>
      </c>
      <c r="G929" s="81" t="s">
        <v>282</v>
      </c>
      <c r="H929" s="81">
        <v>5465</v>
      </c>
      <c r="I929" s="81" t="s">
        <v>628</v>
      </c>
      <c r="J929" s="81">
        <v>3</v>
      </c>
      <c r="K929" s="81">
        <v>117</v>
      </c>
      <c r="L929" s="81" t="s">
        <v>663</v>
      </c>
    </row>
    <row r="930" spans="1:12" ht="15" customHeight="1">
      <c r="A930" s="112">
        <v>11705466</v>
      </c>
      <c r="B930" s="112" t="s">
        <v>2075</v>
      </c>
      <c r="C930" s="81" t="s">
        <v>665</v>
      </c>
      <c r="D930" s="81">
        <v>1100</v>
      </c>
      <c r="E930" s="81" t="s">
        <v>596</v>
      </c>
      <c r="F930" s="81">
        <v>5466</v>
      </c>
      <c r="G930" s="81" t="s">
        <v>282</v>
      </c>
      <c r="H930" s="81">
        <v>5565</v>
      </c>
      <c r="I930" s="81" t="s">
        <v>629</v>
      </c>
      <c r="J930" s="81">
        <v>3</v>
      </c>
      <c r="K930" s="81">
        <v>117</v>
      </c>
      <c r="L930" s="81" t="s">
        <v>663</v>
      </c>
    </row>
    <row r="931" spans="1:12" ht="15" customHeight="1">
      <c r="A931" s="112">
        <v>11705566</v>
      </c>
      <c r="B931" s="112" t="s">
        <v>2076</v>
      </c>
      <c r="C931" s="81" t="s">
        <v>665</v>
      </c>
      <c r="D931" s="81">
        <v>1100</v>
      </c>
      <c r="E931" s="81" t="s">
        <v>596</v>
      </c>
      <c r="F931" s="81">
        <v>5566</v>
      </c>
      <c r="G931" s="81" t="s">
        <v>282</v>
      </c>
      <c r="H931" s="81">
        <v>5665</v>
      </c>
      <c r="I931" s="81" t="s">
        <v>630</v>
      </c>
      <c r="J931" s="81">
        <v>3</v>
      </c>
      <c r="K931" s="81">
        <v>117</v>
      </c>
      <c r="L931" s="81" t="s">
        <v>663</v>
      </c>
    </row>
    <row r="932" spans="1:12" ht="15" customHeight="1">
      <c r="A932" s="112">
        <v>11705666</v>
      </c>
      <c r="B932" s="112" t="s">
        <v>2077</v>
      </c>
      <c r="C932" s="81" t="s">
        <v>665</v>
      </c>
      <c r="D932" s="81">
        <v>1100</v>
      </c>
      <c r="E932" s="81" t="s">
        <v>596</v>
      </c>
      <c r="F932" s="81">
        <v>5666</v>
      </c>
      <c r="G932" s="81" t="s">
        <v>282</v>
      </c>
      <c r="H932" s="81">
        <v>5765</v>
      </c>
      <c r="I932" s="81" t="s">
        <v>631</v>
      </c>
      <c r="J932" s="81">
        <v>3</v>
      </c>
      <c r="K932" s="81">
        <v>117</v>
      </c>
      <c r="L932" s="81" t="s">
        <v>663</v>
      </c>
    </row>
    <row r="933" spans="1:12" ht="15" customHeight="1">
      <c r="A933" s="112">
        <v>11705766</v>
      </c>
      <c r="B933" s="112" t="s">
        <v>2078</v>
      </c>
      <c r="C933" s="81" t="s">
        <v>665</v>
      </c>
      <c r="D933" s="81">
        <v>1100</v>
      </c>
      <c r="E933" s="81" t="s">
        <v>596</v>
      </c>
      <c r="F933" s="81">
        <v>5766</v>
      </c>
      <c r="G933" s="81" t="s">
        <v>282</v>
      </c>
      <c r="H933" s="81">
        <v>5865</v>
      </c>
      <c r="I933" s="81" t="s">
        <v>632</v>
      </c>
      <c r="J933" s="81">
        <v>3</v>
      </c>
      <c r="K933" s="81">
        <v>117</v>
      </c>
      <c r="L933" s="81" t="s">
        <v>663</v>
      </c>
    </row>
    <row r="934" spans="1:12" ht="15" customHeight="1">
      <c r="A934" s="112">
        <v>11705866</v>
      </c>
      <c r="B934" s="112" t="s">
        <v>2079</v>
      </c>
      <c r="C934" s="81" t="s">
        <v>665</v>
      </c>
      <c r="D934" s="81">
        <v>1100</v>
      </c>
      <c r="E934" s="81" t="s">
        <v>596</v>
      </c>
      <c r="F934" s="81">
        <v>5866</v>
      </c>
      <c r="G934" s="81" t="s">
        <v>282</v>
      </c>
      <c r="H934" s="81">
        <v>5965</v>
      </c>
      <c r="I934" s="81" t="s">
        <v>633</v>
      </c>
      <c r="J934" s="81">
        <v>3</v>
      </c>
      <c r="K934" s="81">
        <v>117</v>
      </c>
      <c r="L934" s="81" t="s">
        <v>663</v>
      </c>
    </row>
    <row r="935" spans="1:12" ht="15" customHeight="1">
      <c r="A935" s="112">
        <v>11705966</v>
      </c>
      <c r="B935" s="112" t="s">
        <v>2080</v>
      </c>
      <c r="C935" s="81" t="s">
        <v>665</v>
      </c>
      <c r="D935" s="81">
        <v>1100</v>
      </c>
      <c r="E935" s="81" t="s">
        <v>596</v>
      </c>
      <c r="F935" s="81">
        <v>5966</v>
      </c>
      <c r="G935" s="81" t="s">
        <v>282</v>
      </c>
      <c r="H935" s="81">
        <v>6065</v>
      </c>
      <c r="I935" s="81" t="s">
        <v>634</v>
      </c>
      <c r="J935" s="81">
        <v>3</v>
      </c>
      <c r="K935" s="81">
        <v>117</v>
      </c>
      <c r="L935" s="81" t="s">
        <v>663</v>
      </c>
    </row>
    <row r="936" spans="1:12" ht="15" customHeight="1">
      <c r="A936" s="112">
        <v>11706066</v>
      </c>
      <c r="B936" s="112" t="s">
        <v>2081</v>
      </c>
      <c r="C936" s="81" t="s">
        <v>665</v>
      </c>
      <c r="D936" s="81">
        <v>1100</v>
      </c>
      <c r="E936" s="81" t="s">
        <v>596</v>
      </c>
      <c r="F936" s="81">
        <v>6066</v>
      </c>
      <c r="G936" s="81" t="s">
        <v>282</v>
      </c>
      <c r="H936" s="81">
        <v>6165</v>
      </c>
      <c r="I936" s="81" t="s">
        <v>635</v>
      </c>
      <c r="J936" s="81">
        <v>4</v>
      </c>
      <c r="K936" s="81">
        <v>117</v>
      </c>
      <c r="L936" s="81" t="s">
        <v>663</v>
      </c>
    </row>
    <row r="937" spans="1:12" ht="15" customHeight="1">
      <c r="A937" s="112">
        <v>11706166</v>
      </c>
      <c r="B937" s="112" t="s">
        <v>2082</v>
      </c>
      <c r="C937" s="81" t="s">
        <v>665</v>
      </c>
      <c r="D937" s="81">
        <v>1100</v>
      </c>
      <c r="E937" s="81" t="s">
        <v>596</v>
      </c>
      <c r="F937" s="81">
        <v>6166</v>
      </c>
      <c r="G937" s="81" t="s">
        <v>282</v>
      </c>
      <c r="H937" s="81">
        <v>6265</v>
      </c>
      <c r="I937" s="81" t="s">
        <v>636</v>
      </c>
      <c r="J937" s="81">
        <v>4</v>
      </c>
      <c r="K937" s="81">
        <v>117</v>
      </c>
      <c r="L937" s="81" t="s">
        <v>663</v>
      </c>
    </row>
    <row r="938" spans="1:12" ht="15" customHeight="1">
      <c r="A938" s="112">
        <v>11706266</v>
      </c>
      <c r="B938" s="112" t="s">
        <v>2083</v>
      </c>
      <c r="C938" s="81" t="s">
        <v>665</v>
      </c>
      <c r="D938" s="81">
        <v>1100</v>
      </c>
      <c r="E938" s="81" t="s">
        <v>596</v>
      </c>
      <c r="F938" s="81">
        <v>6266</v>
      </c>
      <c r="G938" s="81" t="s">
        <v>282</v>
      </c>
      <c r="H938" s="81">
        <v>6365</v>
      </c>
      <c r="I938" s="81" t="s">
        <v>637</v>
      </c>
      <c r="J938" s="81">
        <v>4</v>
      </c>
      <c r="K938" s="81">
        <v>117</v>
      </c>
      <c r="L938" s="81" t="s">
        <v>663</v>
      </c>
    </row>
    <row r="939" spans="1:12" ht="15" customHeight="1">
      <c r="A939" s="112">
        <v>11706366</v>
      </c>
      <c r="B939" s="112" t="s">
        <v>2084</v>
      </c>
      <c r="C939" s="81" t="s">
        <v>665</v>
      </c>
      <c r="D939" s="81">
        <v>1100</v>
      </c>
      <c r="E939" s="81" t="s">
        <v>596</v>
      </c>
      <c r="F939" s="81">
        <v>6366</v>
      </c>
      <c r="G939" s="81" t="s">
        <v>282</v>
      </c>
      <c r="H939" s="81">
        <v>6465</v>
      </c>
      <c r="I939" s="81" t="s">
        <v>638</v>
      </c>
      <c r="J939" s="81">
        <v>4</v>
      </c>
      <c r="K939" s="81">
        <v>117</v>
      </c>
      <c r="L939" s="81" t="s">
        <v>663</v>
      </c>
    </row>
    <row r="940" spans="1:12" ht="15" customHeight="1">
      <c r="A940" s="112">
        <v>11706466</v>
      </c>
      <c r="B940" s="112" t="s">
        <v>2085</v>
      </c>
      <c r="C940" s="81" t="s">
        <v>665</v>
      </c>
      <c r="D940" s="81">
        <v>1100</v>
      </c>
      <c r="E940" s="81" t="s">
        <v>596</v>
      </c>
      <c r="F940" s="81">
        <v>6466</v>
      </c>
      <c r="G940" s="81" t="s">
        <v>282</v>
      </c>
      <c r="H940" s="81">
        <v>6565</v>
      </c>
      <c r="I940" s="81" t="s">
        <v>639</v>
      </c>
      <c r="J940" s="81">
        <v>4</v>
      </c>
      <c r="K940" s="81">
        <v>117</v>
      </c>
      <c r="L940" s="81" t="s">
        <v>663</v>
      </c>
    </row>
    <row r="941" spans="1:12" ht="15" customHeight="1">
      <c r="A941" s="112">
        <v>11706566</v>
      </c>
      <c r="B941" s="112" t="s">
        <v>2086</v>
      </c>
      <c r="C941" s="81" t="s">
        <v>665</v>
      </c>
      <c r="D941" s="81">
        <v>1100</v>
      </c>
      <c r="E941" s="81" t="s">
        <v>596</v>
      </c>
      <c r="F941" s="81">
        <v>6566</v>
      </c>
      <c r="G941" s="81" t="s">
        <v>282</v>
      </c>
      <c r="H941" s="81">
        <v>6665</v>
      </c>
      <c r="I941" s="81" t="s">
        <v>640</v>
      </c>
      <c r="J941" s="81">
        <v>4</v>
      </c>
      <c r="K941" s="81">
        <v>117</v>
      </c>
      <c r="L941" s="81" t="s">
        <v>663</v>
      </c>
    </row>
    <row r="942" spans="1:12" ht="15" customHeight="1">
      <c r="A942" s="112">
        <v>11706666</v>
      </c>
      <c r="B942" s="112" t="s">
        <v>2087</v>
      </c>
      <c r="C942" s="81" t="s">
        <v>665</v>
      </c>
      <c r="D942" s="81">
        <v>1100</v>
      </c>
      <c r="E942" s="81" t="s">
        <v>596</v>
      </c>
      <c r="F942" s="81">
        <v>6666</v>
      </c>
      <c r="G942" s="81" t="s">
        <v>282</v>
      </c>
      <c r="H942" s="81">
        <v>6765</v>
      </c>
      <c r="I942" s="81" t="s">
        <v>641</v>
      </c>
      <c r="J942" s="81">
        <v>4</v>
      </c>
      <c r="K942" s="81">
        <v>117</v>
      </c>
      <c r="L942" s="81" t="s">
        <v>663</v>
      </c>
    </row>
    <row r="943" spans="1:12" ht="15" customHeight="1">
      <c r="A943" s="112">
        <v>11706766</v>
      </c>
      <c r="B943" s="112" t="s">
        <v>2088</v>
      </c>
      <c r="C943" s="81" t="s">
        <v>665</v>
      </c>
      <c r="D943" s="81">
        <v>1100</v>
      </c>
      <c r="E943" s="81" t="s">
        <v>596</v>
      </c>
      <c r="F943" s="81">
        <v>6766</v>
      </c>
      <c r="G943" s="81" t="s">
        <v>282</v>
      </c>
      <c r="H943" s="81">
        <v>6865</v>
      </c>
      <c r="I943" s="81" t="s">
        <v>642</v>
      </c>
      <c r="J943" s="81">
        <v>4</v>
      </c>
      <c r="K943" s="81">
        <v>117</v>
      </c>
      <c r="L943" s="81" t="s">
        <v>663</v>
      </c>
    </row>
    <row r="944" spans="1:12" ht="15" customHeight="1">
      <c r="A944" s="112">
        <v>11706866</v>
      </c>
      <c r="B944" s="112" t="s">
        <v>2089</v>
      </c>
      <c r="C944" s="81" t="s">
        <v>665</v>
      </c>
      <c r="D944" s="81">
        <v>1100</v>
      </c>
      <c r="E944" s="81" t="s">
        <v>596</v>
      </c>
      <c r="F944" s="81">
        <v>6866</v>
      </c>
      <c r="G944" s="81" t="s">
        <v>282</v>
      </c>
      <c r="H944" s="81">
        <v>6965</v>
      </c>
      <c r="I944" s="81" t="s">
        <v>643</v>
      </c>
      <c r="J944" s="81">
        <v>5</v>
      </c>
      <c r="K944" s="81">
        <v>117</v>
      </c>
      <c r="L944" s="81" t="s">
        <v>663</v>
      </c>
    </row>
    <row r="945" spans="1:12" ht="15" customHeight="1">
      <c r="A945" s="112">
        <v>11706966</v>
      </c>
      <c r="B945" s="112" t="s">
        <v>2090</v>
      </c>
      <c r="C945" s="81" t="s">
        <v>665</v>
      </c>
      <c r="D945" s="81">
        <v>1100</v>
      </c>
      <c r="E945" s="81" t="s">
        <v>596</v>
      </c>
      <c r="F945" s="81">
        <v>6966</v>
      </c>
      <c r="G945" s="81" t="s">
        <v>282</v>
      </c>
      <c r="H945" s="81">
        <v>7065</v>
      </c>
      <c r="I945" s="81" t="s">
        <v>644</v>
      </c>
      <c r="J945" s="81">
        <v>5</v>
      </c>
      <c r="K945" s="81">
        <v>117</v>
      </c>
      <c r="L945" s="81" t="s">
        <v>663</v>
      </c>
    </row>
    <row r="946" spans="1:12" ht="15" customHeight="1">
      <c r="A946" s="112">
        <v>11707066</v>
      </c>
      <c r="B946" s="112" t="s">
        <v>2091</v>
      </c>
      <c r="C946" s="81" t="s">
        <v>665</v>
      </c>
      <c r="D946" s="81">
        <v>1100</v>
      </c>
      <c r="E946" s="81" t="s">
        <v>596</v>
      </c>
      <c r="F946" s="81">
        <v>7066</v>
      </c>
      <c r="G946" s="81" t="s">
        <v>282</v>
      </c>
      <c r="H946" s="81">
        <v>7165</v>
      </c>
      <c r="I946" s="81" t="s">
        <v>645</v>
      </c>
      <c r="J946" s="81">
        <v>5</v>
      </c>
      <c r="K946" s="81">
        <v>117</v>
      </c>
      <c r="L946" s="81" t="s">
        <v>663</v>
      </c>
    </row>
    <row r="947" spans="1:12" ht="15" customHeight="1">
      <c r="A947" s="112">
        <v>11707166</v>
      </c>
      <c r="B947" s="112" t="s">
        <v>2092</v>
      </c>
      <c r="C947" s="81" t="s">
        <v>665</v>
      </c>
      <c r="D947" s="81">
        <v>1100</v>
      </c>
      <c r="E947" s="81" t="s">
        <v>596</v>
      </c>
      <c r="F947" s="81">
        <v>7166</v>
      </c>
      <c r="G947" s="81" t="s">
        <v>282</v>
      </c>
      <c r="H947" s="81">
        <v>7265</v>
      </c>
      <c r="I947" s="81" t="s">
        <v>646</v>
      </c>
      <c r="J947" s="81">
        <v>5</v>
      </c>
      <c r="K947" s="81">
        <v>117</v>
      </c>
      <c r="L947" s="81" t="s">
        <v>663</v>
      </c>
    </row>
    <row r="948" spans="1:12" ht="15" customHeight="1">
      <c r="A948" s="112">
        <v>11707266</v>
      </c>
      <c r="B948" s="112" t="s">
        <v>2093</v>
      </c>
      <c r="C948" s="81" t="s">
        <v>665</v>
      </c>
      <c r="D948" s="81">
        <v>1100</v>
      </c>
      <c r="E948" s="81" t="s">
        <v>596</v>
      </c>
      <c r="F948" s="81">
        <v>7266</v>
      </c>
      <c r="G948" s="81" t="s">
        <v>282</v>
      </c>
      <c r="H948" s="81">
        <v>7365</v>
      </c>
      <c r="I948" s="81" t="s">
        <v>647</v>
      </c>
      <c r="J948" s="81">
        <v>5</v>
      </c>
      <c r="K948" s="81">
        <v>117</v>
      </c>
      <c r="L948" s="81" t="s">
        <v>663</v>
      </c>
    </row>
    <row r="949" spans="1:12" ht="15" customHeight="1">
      <c r="A949" s="112">
        <v>11707366</v>
      </c>
      <c r="B949" s="112" t="s">
        <v>2094</v>
      </c>
      <c r="C949" s="81" t="s">
        <v>665</v>
      </c>
      <c r="D949" s="81">
        <v>1100</v>
      </c>
      <c r="E949" s="81" t="s">
        <v>596</v>
      </c>
      <c r="F949" s="81">
        <v>7366</v>
      </c>
      <c r="G949" s="81" t="s">
        <v>282</v>
      </c>
      <c r="H949" s="81">
        <v>7465</v>
      </c>
      <c r="I949" s="81" t="s">
        <v>648</v>
      </c>
      <c r="J949" s="81">
        <v>5</v>
      </c>
      <c r="K949" s="81">
        <v>117</v>
      </c>
      <c r="L949" s="81" t="s">
        <v>663</v>
      </c>
    </row>
    <row r="950" spans="1:12" ht="15" customHeight="1">
      <c r="A950" s="112">
        <v>11707466</v>
      </c>
      <c r="B950" s="112" t="s">
        <v>2095</v>
      </c>
      <c r="C950" s="81" t="s">
        <v>665</v>
      </c>
      <c r="D950" s="81">
        <v>1100</v>
      </c>
      <c r="E950" s="81" t="s">
        <v>596</v>
      </c>
      <c r="F950" s="81">
        <v>7466</v>
      </c>
      <c r="G950" s="81" t="s">
        <v>282</v>
      </c>
      <c r="H950" s="81">
        <v>7565</v>
      </c>
      <c r="I950" s="81" t="s">
        <v>649</v>
      </c>
      <c r="J950" s="81">
        <v>5</v>
      </c>
      <c r="K950" s="81">
        <v>117</v>
      </c>
      <c r="L950" s="81" t="s">
        <v>663</v>
      </c>
    </row>
    <row r="951" spans="1:12" ht="15" customHeight="1">
      <c r="A951" s="112">
        <v>11707566</v>
      </c>
      <c r="B951" s="112" t="s">
        <v>2096</v>
      </c>
      <c r="C951" s="81" t="s">
        <v>665</v>
      </c>
      <c r="D951" s="81">
        <v>1100</v>
      </c>
      <c r="E951" s="81" t="s">
        <v>596</v>
      </c>
      <c r="F951" s="81">
        <v>7566</v>
      </c>
      <c r="G951" s="81" t="s">
        <v>282</v>
      </c>
      <c r="H951" s="81">
        <v>7665</v>
      </c>
      <c r="I951" s="81" t="s">
        <v>650</v>
      </c>
      <c r="J951" s="81">
        <v>5</v>
      </c>
      <c r="K951" s="81">
        <v>117</v>
      </c>
      <c r="L951" s="81" t="s">
        <v>663</v>
      </c>
    </row>
    <row r="952" spans="1:12" ht="15" customHeight="1">
      <c r="A952" s="112">
        <v>11707666</v>
      </c>
      <c r="B952" s="112" t="s">
        <v>2097</v>
      </c>
      <c r="C952" s="81" t="s">
        <v>665</v>
      </c>
      <c r="D952" s="81">
        <v>1100</v>
      </c>
      <c r="E952" s="81" t="s">
        <v>596</v>
      </c>
      <c r="F952" s="81">
        <v>7666</v>
      </c>
      <c r="G952" s="81" t="s">
        <v>282</v>
      </c>
      <c r="H952" s="81">
        <v>7765</v>
      </c>
      <c r="I952" s="81" t="s">
        <v>651</v>
      </c>
      <c r="J952" s="81">
        <v>6</v>
      </c>
      <c r="K952" s="81">
        <v>117</v>
      </c>
      <c r="L952" s="81" t="s">
        <v>663</v>
      </c>
    </row>
    <row r="953" spans="1:12" ht="15" customHeight="1">
      <c r="A953" s="112">
        <v>11707766</v>
      </c>
      <c r="B953" s="112" t="s">
        <v>2098</v>
      </c>
      <c r="C953" s="81" t="s">
        <v>665</v>
      </c>
      <c r="D953" s="81">
        <v>1100</v>
      </c>
      <c r="E953" s="81" t="s">
        <v>596</v>
      </c>
      <c r="F953" s="81">
        <v>7766</v>
      </c>
      <c r="G953" s="81" t="s">
        <v>282</v>
      </c>
      <c r="H953" s="81">
        <v>7865</v>
      </c>
      <c r="I953" s="81" t="s">
        <v>652</v>
      </c>
      <c r="J953" s="81">
        <v>6</v>
      </c>
      <c r="K953" s="81">
        <v>117</v>
      </c>
      <c r="L953" s="81" t="s">
        <v>663</v>
      </c>
    </row>
    <row r="954" spans="1:12" ht="15" customHeight="1">
      <c r="A954" s="112">
        <v>11707866</v>
      </c>
      <c r="B954" s="112" t="s">
        <v>2099</v>
      </c>
      <c r="C954" s="81" t="s">
        <v>665</v>
      </c>
      <c r="D954" s="81">
        <v>1100</v>
      </c>
      <c r="E954" s="81" t="s">
        <v>596</v>
      </c>
      <c r="F954" s="81">
        <v>7866</v>
      </c>
      <c r="G954" s="81" t="s">
        <v>282</v>
      </c>
      <c r="H954" s="81">
        <v>7965</v>
      </c>
      <c r="I954" s="81" t="s">
        <v>653</v>
      </c>
      <c r="J954" s="81">
        <v>6</v>
      </c>
      <c r="K954" s="81">
        <v>117</v>
      </c>
      <c r="L954" s="81" t="s">
        <v>663</v>
      </c>
    </row>
    <row r="955" spans="1:12" ht="15" customHeight="1">
      <c r="A955" s="112">
        <v>11707966</v>
      </c>
      <c r="B955" s="112" t="s">
        <v>2100</v>
      </c>
      <c r="C955" s="81" t="s">
        <v>665</v>
      </c>
      <c r="D955" s="81">
        <v>1100</v>
      </c>
      <c r="E955" s="81" t="s">
        <v>596</v>
      </c>
      <c r="F955" s="81">
        <v>7966</v>
      </c>
      <c r="G955" s="81" t="s">
        <v>282</v>
      </c>
      <c r="H955" s="81">
        <v>8065</v>
      </c>
      <c r="I955" s="81" t="s">
        <v>654</v>
      </c>
      <c r="J955" s="81">
        <v>6</v>
      </c>
      <c r="K955" s="81">
        <v>117</v>
      </c>
      <c r="L955" s="81" t="s">
        <v>663</v>
      </c>
    </row>
    <row r="956" spans="1:12" ht="15" customHeight="1">
      <c r="A956" s="112">
        <v>11800000</v>
      </c>
      <c r="B956" s="112" t="s">
        <v>2101</v>
      </c>
      <c r="C956" s="81" t="s">
        <v>665</v>
      </c>
      <c r="D956" s="81">
        <v>1100</v>
      </c>
      <c r="E956" s="81" t="s">
        <v>264</v>
      </c>
      <c r="F956" s="81">
        <v>0</v>
      </c>
      <c r="G956" s="81" t="s">
        <v>282</v>
      </c>
      <c r="H956" s="81">
        <v>2630</v>
      </c>
      <c r="I956" s="81" t="s">
        <v>597</v>
      </c>
      <c r="J956" s="81">
        <v>0</v>
      </c>
      <c r="K956" s="81">
        <v>118</v>
      </c>
      <c r="L956" s="81" t="s">
        <v>663</v>
      </c>
    </row>
    <row r="957" spans="1:12" ht="15" customHeight="1">
      <c r="A957" s="112">
        <v>11802631</v>
      </c>
      <c r="B957" s="112" t="s">
        <v>2102</v>
      </c>
      <c r="C957" s="81" t="s">
        <v>665</v>
      </c>
      <c r="D957" s="81">
        <v>1100</v>
      </c>
      <c r="E957" s="81" t="s">
        <v>264</v>
      </c>
      <c r="F957" s="81">
        <v>2631</v>
      </c>
      <c r="G957" s="81" t="s">
        <v>282</v>
      </c>
      <c r="H957" s="81">
        <v>2700</v>
      </c>
      <c r="I957" s="81" t="s">
        <v>599</v>
      </c>
      <c r="J957" s="81">
        <v>0</v>
      </c>
      <c r="K957" s="81">
        <v>118</v>
      </c>
      <c r="L957" s="81" t="s">
        <v>663</v>
      </c>
    </row>
    <row r="958" spans="1:12" ht="15" customHeight="1">
      <c r="A958" s="112">
        <v>11802701</v>
      </c>
      <c r="B958" s="112" t="s">
        <v>2103</v>
      </c>
      <c r="C958" s="81" t="s">
        <v>665</v>
      </c>
      <c r="D958" s="81">
        <v>1100</v>
      </c>
      <c r="E958" s="81" t="s">
        <v>264</v>
      </c>
      <c r="F958" s="81">
        <v>2701</v>
      </c>
      <c r="G958" s="81" t="s">
        <v>282</v>
      </c>
      <c r="H958" s="81">
        <v>2750</v>
      </c>
      <c r="I958" s="81" t="s">
        <v>600</v>
      </c>
      <c r="J958" s="81">
        <v>0</v>
      </c>
      <c r="K958" s="81">
        <v>118</v>
      </c>
      <c r="L958" s="81" t="s">
        <v>663</v>
      </c>
    </row>
    <row r="959" spans="1:12" ht="15" customHeight="1">
      <c r="A959" s="112">
        <v>11802751</v>
      </c>
      <c r="B959" s="112" t="s">
        <v>2104</v>
      </c>
      <c r="C959" s="81" t="s">
        <v>665</v>
      </c>
      <c r="D959" s="81">
        <v>1100</v>
      </c>
      <c r="E959" s="81" t="s">
        <v>264</v>
      </c>
      <c r="F959" s="81">
        <v>2751</v>
      </c>
      <c r="G959" s="81" t="s">
        <v>282</v>
      </c>
      <c r="H959" s="81">
        <v>2850</v>
      </c>
      <c r="I959" s="81" t="s">
        <v>602</v>
      </c>
      <c r="J959" s="81">
        <v>0</v>
      </c>
      <c r="K959" s="81">
        <v>118</v>
      </c>
      <c r="L959" s="81" t="s">
        <v>663</v>
      </c>
    </row>
    <row r="960" spans="1:12" ht="15" customHeight="1">
      <c r="A960" s="112">
        <v>11802851</v>
      </c>
      <c r="B960" s="112" t="s">
        <v>2105</v>
      </c>
      <c r="C960" s="81" t="s">
        <v>665</v>
      </c>
      <c r="D960" s="81">
        <v>1100</v>
      </c>
      <c r="E960" s="81" t="s">
        <v>264</v>
      </c>
      <c r="F960" s="81">
        <v>2851</v>
      </c>
      <c r="G960" s="81" t="s">
        <v>282</v>
      </c>
      <c r="H960" s="81">
        <v>2950</v>
      </c>
      <c r="I960" s="81" t="s">
        <v>603</v>
      </c>
      <c r="J960" s="81">
        <v>0</v>
      </c>
      <c r="K960" s="81">
        <v>118</v>
      </c>
      <c r="L960" s="81" t="s">
        <v>663</v>
      </c>
    </row>
    <row r="961" spans="1:12" ht="15" customHeight="1">
      <c r="A961" s="112">
        <v>11802951</v>
      </c>
      <c r="B961" s="112" t="s">
        <v>2106</v>
      </c>
      <c r="C961" s="81" t="s">
        <v>665</v>
      </c>
      <c r="D961" s="81">
        <v>1100</v>
      </c>
      <c r="E961" s="81" t="s">
        <v>264</v>
      </c>
      <c r="F961" s="81">
        <v>2951</v>
      </c>
      <c r="G961" s="81" t="s">
        <v>282</v>
      </c>
      <c r="H961" s="81">
        <v>3050</v>
      </c>
      <c r="I961" s="81" t="s">
        <v>604</v>
      </c>
      <c r="J961" s="81">
        <v>0</v>
      </c>
      <c r="K961" s="81">
        <v>118</v>
      </c>
      <c r="L961" s="81" t="s">
        <v>663</v>
      </c>
    </row>
    <row r="962" spans="1:12" ht="15" customHeight="1">
      <c r="A962" s="112">
        <v>11803051</v>
      </c>
      <c r="B962" s="112" t="s">
        <v>2107</v>
      </c>
      <c r="C962" s="81" t="s">
        <v>665</v>
      </c>
      <c r="D962" s="81">
        <v>1100</v>
      </c>
      <c r="E962" s="81" t="s">
        <v>264</v>
      </c>
      <c r="F962" s="81">
        <v>3051</v>
      </c>
      <c r="G962" s="81" t="s">
        <v>282</v>
      </c>
      <c r="H962" s="81">
        <v>3150</v>
      </c>
      <c r="I962" s="81" t="s">
        <v>605</v>
      </c>
      <c r="J962" s="81">
        <v>0</v>
      </c>
      <c r="K962" s="81">
        <v>118</v>
      </c>
      <c r="L962" s="81" t="s">
        <v>663</v>
      </c>
    </row>
    <row r="963" spans="1:12" ht="15" customHeight="1">
      <c r="A963" s="112">
        <v>11803151</v>
      </c>
      <c r="B963" s="112" t="s">
        <v>2108</v>
      </c>
      <c r="C963" s="81" t="s">
        <v>665</v>
      </c>
      <c r="D963" s="81">
        <v>1100</v>
      </c>
      <c r="E963" s="81" t="s">
        <v>264</v>
      </c>
      <c r="F963" s="81">
        <v>3151</v>
      </c>
      <c r="G963" s="81" t="s">
        <v>282</v>
      </c>
      <c r="H963" s="81">
        <v>3250</v>
      </c>
      <c r="I963" s="81" t="s">
        <v>606</v>
      </c>
      <c r="J963" s="81">
        <v>0</v>
      </c>
      <c r="K963" s="81">
        <v>118</v>
      </c>
      <c r="L963" s="81" t="s">
        <v>663</v>
      </c>
    </row>
    <row r="964" spans="1:12" ht="15" customHeight="1">
      <c r="A964" s="112">
        <v>11803251</v>
      </c>
      <c r="B964" s="112" t="s">
        <v>2109</v>
      </c>
      <c r="C964" s="81" t="s">
        <v>665</v>
      </c>
      <c r="D964" s="81">
        <v>1100</v>
      </c>
      <c r="E964" s="81" t="s">
        <v>264</v>
      </c>
      <c r="F964" s="81">
        <v>3251</v>
      </c>
      <c r="G964" s="81" t="s">
        <v>282</v>
      </c>
      <c r="H964" s="81">
        <v>3350</v>
      </c>
      <c r="I964" s="81" t="s">
        <v>607</v>
      </c>
      <c r="J964" s="81">
        <v>0</v>
      </c>
      <c r="K964" s="81">
        <v>118</v>
      </c>
      <c r="L964" s="81" t="s">
        <v>663</v>
      </c>
    </row>
    <row r="965" spans="1:12" ht="15" customHeight="1">
      <c r="A965" s="112">
        <v>11803351</v>
      </c>
      <c r="B965" s="112" t="s">
        <v>2110</v>
      </c>
      <c r="C965" s="81" t="s">
        <v>665</v>
      </c>
      <c r="D965" s="81">
        <v>1100</v>
      </c>
      <c r="E965" s="81" t="s">
        <v>264</v>
      </c>
      <c r="F965" s="81">
        <v>3351</v>
      </c>
      <c r="G965" s="81" t="s">
        <v>282</v>
      </c>
      <c r="H965" s="81">
        <v>3450</v>
      </c>
      <c r="I965" s="81" t="s">
        <v>608</v>
      </c>
      <c r="J965" s="81">
        <v>0</v>
      </c>
      <c r="K965" s="81">
        <v>118</v>
      </c>
      <c r="L965" s="81" t="s">
        <v>663</v>
      </c>
    </row>
    <row r="966" spans="1:12" ht="15" customHeight="1">
      <c r="A966" s="112">
        <v>11803451</v>
      </c>
      <c r="B966" s="112" t="s">
        <v>2111</v>
      </c>
      <c r="C966" s="81" t="s">
        <v>665</v>
      </c>
      <c r="D966" s="81">
        <v>1100</v>
      </c>
      <c r="E966" s="81" t="s">
        <v>264</v>
      </c>
      <c r="F966" s="81">
        <v>3451</v>
      </c>
      <c r="G966" s="81" t="s">
        <v>282</v>
      </c>
      <c r="H966" s="81">
        <v>3550</v>
      </c>
      <c r="I966" s="81" t="s">
        <v>609</v>
      </c>
      <c r="J966" s="81">
        <v>0</v>
      </c>
      <c r="K966" s="81">
        <v>118</v>
      </c>
      <c r="L966" s="81" t="s">
        <v>663</v>
      </c>
    </row>
    <row r="967" spans="1:12" ht="15" customHeight="1">
      <c r="A967" s="112">
        <v>11803551</v>
      </c>
      <c r="B967" s="112" t="s">
        <v>2112</v>
      </c>
      <c r="C967" s="81" t="s">
        <v>665</v>
      </c>
      <c r="D967" s="81">
        <v>1100</v>
      </c>
      <c r="E967" s="81" t="s">
        <v>264</v>
      </c>
      <c r="F967" s="81">
        <v>3551</v>
      </c>
      <c r="G967" s="81" t="s">
        <v>282</v>
      </c>
      <c r="H967" s="81">
        <v>3650</v>
      </c>
      <c r="I967" s="81" t="s">
        <v>610</v>
      </c>
      <c r="J967" s="81">
        <v>0</v>
      </c>
      <c r="K967" s="81">
        <v>118</v>
      </c>
      <c r="L967" s="81" t="s">
        <v>663</v>
      </c>
    </row>
    <row r="968" spans="1:12" ht="15" customHeight="1">
      <c r="A968" s="112">
        <v>11803651</v>
      </c>
      <c r="B968" s="112" t="s">
        <v>2113</v>
      </c>
      <c r="C968" s="81" t="s">
        <v>665</v>
      </c>
      <c r="D968" s="81">
        <v>1100</v>
      </c>
      <c r="E968" s="81" t="s">
        <v>264</v>
      </c>
      <c r="F968" s="81">
        <v>3651</v>
      </c>
      <c r="G968" s="81" t="s">
        <v>282</v>
      </c>
      <c r="H968" s="81">
        <v>3750</v>
      </c>
      <c r="I968" s="81" t="s">
        <v>611</v>
      </c>
      <c r="J968" s="81">
        <v>1</v>
      </c>
      <c r="K968" s="81">
        <v>118</v>
      </c>
      <c r="L968" s="81" t="s">
        <v>663</v>
      </c>
    </row>
    <row r="969" spans="1:12" ht="15" customHeight="1">
      <c r="A969" s="112">
        <v>11803751</v>
      </c>
      <c r="B969" s="112" t="s">
        <v>2114</v>
      </c>
      <c r="C969" s="81" t="s">
        <v>665</v>
      </c>
      <c r="D969" s="81">
        <v>1100</v>
      </c>
      <c r="E969" s="81" t="s">
        <v>264</v>
      </c>
      <c r="F969" s="81">
        <v>3751</v>
      </c>
      <c r="G969" s="81" t="s">
        <v>282</v>
      </c>
      <c r="H969" s="81">
        <v>3850</v>
      </c>
      <c r="I969" s="81" t="s">
        <v>612</v>
      </c>
      <c r="J969" s="81">
        <v>1</v>
      </c>
      <c r="K969" s="81">
        <v>118</v>
      </c>
      <c r="L969" s="81" t="s">
        <v>663</v>
      </c>
    </row>
    <row r="970" spans="1:12" ht="15" customHeight="1">
      <c r="A970" s="112">
        <v>11803851</v>
      </c>
      <c r="B970" s="112" t="s">
        <v>2115</v>
      </c>
      <c r="C970" s="81" t="s">
        <v>665</v>
      </c>
      <c r="D970" s="81">
        <v>1100</v>
      </c>
      <c r="E970" s="81" t="s">
        <v>264</v>
      </c>
      <c r="F970" s="81">
        <v>3851</v>
      </c>
      <c r="G970" s="81" t="s">
        <v>282</v>
      </c>
      <c r="H970" s="81">
        <v>3950</v>
      </c>
      <c r="I970" s="81" t="s">
        <v>613</v>
      </c>
      <c r="J970" s="81">
        <v>1</v>
      </c>
      <c r="K970" s="81">
        <v>118</v>
      </c>
      <c r="L970" s="81" t="s">
        <v>663</v>
      </c>
    </row>
    <row r="971" spans="1:12" ht="15" customHeight="1">
      <c r="A971" s="112">
        <v>11803951</v>
      </c>
      <c r="B971" s="112" t="s">
        <v>2116</v>
      </c>
      <c r="C971" s="81" t="s">
        <v>665</v>
      </c>
      <c r="D971" s="81">
        <v>1100</v>
      </c>
      <c r="E971" s="81" t="s">
        <v>264</v>
      </c>
      <c r="F971" s="81">
        <v>3951</v>
      </c>
      <c r="G971" s="81" t="s">
        <v>282</v>
      </c>
      <c r="H971" s="81">
        <v>4050</v>
      </c>
      <c r="I971" s="81" t="s">
        <v>614</v>
      </c>
      <c r="J971" s="81">
        <v>1</v>
      </c>
      <c r="K971" s="81">
        <v>118</v>
      </c>
      <c r="L971" s="81" t="s">
        <v>663</v>
      </c>
    </row>
    <row r="972" spans="1:12" ht="15" customHeight="1">
      <c r="A972" s="112">
        <v>11804051</v>
      </c>
      <c r="B972" s="112" t="s">
        <v>2117</v>
      </c>
      <c r="C972" s="81" t="s">
        <v>665</v>
      </c>
      <c r="D972" s="81">
        <v>1100</v>
      </c>
      <c r="E972" s="81" t="s">
        <v>264</v>
      </c>
      <c r="F972" s="81">
        <v>4051</v>
      </c>
      <c r="G972" s="81" t="s">
        <v>282</v>
      </c>
      <c r="H972" s="81">
        <v>4150</v>
      </c>
      <c r="I972" s="81" t="s">
        <v>615</v>
      </c>
      <c r="J972" s="81">
        <v>1</v>
      </c>
      <c r="K972" s="81">
        <v>118</v>
      </c>
      <c r="L972" s="81" t="s">
        <v>663</v>
      </c>
    </row>
    <row r="973" spans="1:12" ht="15" customHeight="1">
      <c r="A973" s="112">
        <v>11804151</v>
      </c>
      <c r="B973" s="112" t="s">
        <v>2118</v>
      </c>
      <c r="C973" s="81" t="s">
        <v>665</v>
      </c>
      <c r="D973" s="81">
        <v>1100</v>
      </c>
      <c r="E973" s="81" t="s">
        <v>264</v>
      </c>
      <c r="F973" s="81">
        <v>4151</v>
      </c>
      <c r="G973" s="81" t="s">
        <v>282</v>
      </c>
      <c r="H973" s="81">
        <v>4250</v>
      </c>
      <c r="I973" s="81" t="s">
        <v>616</v>
      </c>
      <c r="J973" s="81">
        <v>1</v>
      </c>
      <c r="K973" s="81">
        <v>118</v>
      </c>
      <c r="L973" s="81" t="s">
        <v>663</v>
      </c>
    </row>
    <row r="974" spans="1:12" ht="15" customHeight="1">
      <c r="A974" s="112">
        <v>11804251</v>
      </c>
      <c r="B974" s="112" t="s">
        <v>2119</v>
      </c>
      <c r="C974" s="81" t="s">
        <v>665</v>
      </c>
      <c r="D974" s="81">
        <v>1100</v>
      </c>
      <c r="E974" s="81" t="s">
        <v>264</v>
      </c>
      <c r="F974" s="81">
        <v>4251</v>
      </c>
      <c r="G974" s="81" t="s">
        <v>282</v>
      </c>
      <c r="H974" s="81">
        <v>4350</v>
      </c>
      <c r="I974" s="81" t="s">
        <v>617</v>
      </c>
      <c r="J974" s="81">
        <v>1</v>
      </c>
      <c r="K974" s="81">
        <v>118</v>
      </c>
      <c r="L974" s="81" t="s">
        <v>663</v>
      </c>
    </row>
    <row r="975" spans="1:12" ht="15" customHeight="1">
      <c r="A975" s="112">
        <v>11804351</v>
      </c>
      <c r="B975" s="112" t="s">
        <v>2120</v>
      </c>
      <c r="C975" s="81" t="s">
        <v>665</v>
      </c>
      <c r="D975" s="81">
        <v>1100</v>
      </c>
      <c r="E975" s="81" t="s">
        <v>264</v>
      </c>
      <c r="F975" s="81">
        <v>4351</v>
      </c>
      <c r="G975" s="81" t="s">
        <v>282</v>
      </c>
      <c r="H975" s="81">
        <v>4450</v>
      </c>
      <c r="I975" s="81" t="s">
        <v>618</v>
      </c>
      <c r="J975" s="81">
        <v>1</v>
      </c>
      <c r="K975" s="81">
        <v>118</v>
      </c>
      <c r="L975" s="81" t="s">
        <v>663</v>
      </c>
    </row>
    <row r="976" spans="1:12" ht="15" customHeight="1">
      <c r="A976" s="112">
        <v>11804451</v>
      </c>
      <c r="B976" s="112" t="s">
        <v>2121</v>
      </c>
      <c r="C976" s="81" t="s">
        <v>665</v>
      </c>
      <c r="D976" s="81">
        <v>1100</v>
      </c>
      <c r="E976" s="81" t="s">
        <v>264</v>
      </c>
      <c r="F976" s="81">
        <v>4451</v>
      </c>
      <c r="G976" s="81" t="s">
        <v>282</v>
      </c>
      <c r="H976" s="81">
        <v>4550</v>
      </c>
      <c r="I976" s="81" t="s">
        <v>619</v>
      </c>
      <c r="J976" s="81">
        <v>2</v>
      </c>
      <c r="K976" s="81">
        <v>118</v>
      </c>
      <c r="L976" s="81" t="s">
        <v>663</v>
      </c>
    </row>
    <row r="977" spans="1:12" ht="15" customHeight="1">
      <c r="A977" s="112">
        <v>11804551</v>
      </c>
      <c r="B977" s="112" t="s">
        <v>2122</v>
      </c>
      <c r="C977" s="81" t="s">
        <v>665</v>
      </c>
      <c r="D977" s="81">
        <v>1100</v>
      </c>
      <c r="E977" s="81" t="s">
        <v>264</v>
      </c>
      <c r="F977" s="81">
        <v>4551</v>
      </c>
      <c r="G977" s="81" t="s">
        <v>282</v>
      </c>
      <c r="H977" s="81">
        <v>4650</v>
      </c>
      <c r="I977" s="81" t="s">
        <v>620</v>
      </c>
      <c r="J977" s="81">
        <v>2</v>
      </c>
      <c r="K977" s="81">
        <v>118</v>
      </c>
      <c r="L977" s="81" t="s">
        <v>663</v>
      </c>
    </row>
    <row r="978" spans="1:12" ht="15" customHeight="1">
      <c r="A978" s="112">
        <v>11804651</v>
      </c>
      <c r="B978" s="112" t="s">
        <v>2123</v>
      </c>
      <c r="C978" s="81" t="s">
        <v>665</v>
      </c>
      <c r="D978" s="81">
        <v>1100</v>
      </c>
      <c r="E978" s="81" t="s">
        <v>264</v>
      </c>
      <c r="F978" s="81">
        <v>4651</v>
      </c>
      <c r="G978" s="81" t="s">
        <v>282</v>
      </c>
      <c r="H978" s="81">
        <v>4750</v>
      </c>
      <c r="I978" s="81" t="s">
        <v>621</v>
      </c>
      <c r="J978" s="81">
        <v>2</v>
      </c>
      <c r="K978" s="81">
        <v>118</v>
      </c>
      <c r="L978" s="81" t="s">
        <v>663</v>
      </c>
    </row>
    <row r="979" spans="1:12" ht="15" customHeight="1">
      <c r="A979" s="112">
        <v>11804751</v>
      </c>
      <c r="B979" s="112" t="s">
        <v>2124</v>
      </c>
      <c r="C979" s="81" t="s">
        <v>665</v>
      </c>
      <c r="D979" s="81">
        <v>1100</v>
      </c>
      <c r="E979" s="81" t="s">
        <v>264</v>
      </c>
      <c r="F979" s="81">
        <v>4751</v>
      </c>
      <c r="G979" s="81" t="s">
        <v>282</v>
      </c>
      <c r="H979" s="81">
        <v>4850</v>
      </c>
      <c r="I979" s="81" t="s">
        <v>622</v>
      </c>
      <c r="J979" s="81">
        <v>2</v>
      </c>
      <c r="K979" s="81">
        <v>118</v>
      </c>
      <c r="L979" s="81" t="s">
        <v>663</v>
      </c>
    </row>
    <row r="980" spans="1:12" ht="15" customHeight="1">
      <c r="A980" s="112">
        <v>11804851</v>
      </c>
      <c r="B980" s="112" t="s">
        <v>2125</v>
      </c>
      <c r="C980" s="81" t="s">
        <v>665</v>
      </c>
      <c r="D980" s="81">
        <v>1100</v>
      </c>
      <c r="E980" s="81" t="s">
        <v>264</v>
      </c>
      <c r="F980" s="81">
        <v>4851</v>
      </c>
      <c r="G980" s="81" t="s">
        <v>282</v>
      </c>
      <c r="H980" s="81">
        <v>4950</v>
      </c>
      <c r="I980" s="81" t="s">
        <v>623</v>
      </c>
      <c r="J980" s="81">
        <v>2</v>
      </c>
      <c r="K980" s="81">
        <v>118</v>
      </c>
      <c r="L980" s="81" t="s">
        <v>663</v>
      </c>
    </row>
    <row r="981" spans="1:12" ht="15" customHeight="1">
      <c r="A981" s="112">
        <v>11804951</v>
      </c>
      <c r="B981" s="112" t="s">
        <v>2126</v>
      </c>
      <c r="C981" s="81" t="s">
        <v>665</v>
      </c>
      <c r="D981" s="81">
        <v>1100</v>
      </c>
      <c r="E981" s="81" t="s">
        <v>264</v>
      </c>
      <c r="F981" s="81">
        <v>4951</v>
      </c>
      <c r="G981" s="81" t="s">
        <v>282</v>
      </c>
      <c r="H981" s="81">
        <v>5050</v>
      </c>
      <c r="I981" s="81" t="s">
        <v>624</v>
      </c>
      <c r="J981" s="81">
        <v>2</v>
      </c>
      <c r="K981" s="81">
        <v>118</v>
      </c>
      <c r="L981" s="81" t="s">
        <v>663</v>
      </c>
    </row>
    <row r="982" spans="1:12" ht="15" customHeight="1">
      <c r="A982" s="112">
        <v>11805051</v>
      </c>
      <c r="B982" s="112" t="s">
        <v>2127</v>
      </c>
      <c r="C982" s="81" t="s">
        <v>665</v>
      </c>
      <c r="D982" s="81">
        <v>1100</v>
      </c>
      <c r="E982" s="81" t="s">
        <v>264</v>
      </c>
      <c r="F982" s="81">
        <v>5051</v>
      </c>
      <c r="G982" s="81" t="s">
        <v>282</v>
      </c>
      <c r="H982" s="81">
        <v>5150</v>
      </c>
      <c r="I982" s="81" t="s">
        <v>625</v>
      </c>
      <c r="J982" s="81">
        <v>2</v>
      </c>
      <c r="K982" s="81">
        <v>118</v>
      </c>
      <c r="L982" s="81" t="s">
        <v>663</v>
      </c>
    </row>
    <row r="983" spans="1:12" ht="15" customHeight="1">
      <c r="A983" s="112">
        <v>11805151</v>
      </c>
      <c r="B983" s="112" t="s">
        <v>2128</v>
      </c>
      <c r="C983" s="81" t="s">
        <v>665</v>
      </c>
      <c r="D983" s="81">
        <v>1100</v>
      </c>
      <c r="E983" s="81" t="s">
        <v>264</v>
      </c>
      <c r="F983" s="81">
        <v>5151</v>
      </c>
      <c r="G983" s="81" t="s">
        <v>282</v>
      </c>
      <c r="H983" s="81">
        <v>5250</v>
      </c>
      <c r="I983" s="81" t="s">
        <v>626</v>
      </c>
      <c r="J983" s="81">
        <v>2</v>
      </c>
      <c r="K983" s="81">
        <v>118</v>
      </c>
      <c r="L983" s="81" t="s">
        <v>663</v>
      </c>
    </row>
    <row r="984" spans="1:12" ht="15" customHeight="1">
      <c r="A984" s="112">
        <v>11805251</v>
      </c>
      <c r="B984" s="112" t="s">
        <v>2129</v>
      </c>
      <c r="C984" s="81" t="s">
        <v>665</v>
      </c>
      <c r="D984" s="81">
        <v>1100</v>
      </c>
      <c r="E984" s="81" t="s">
        <v>264</v>
      </c>
      <c r="F984" s="81">
        <v>5251</v>
      </c>
      <c r="G984" s="81" t="s">
        <v>282</v>
      </c>
      <c r="H984" s="81">
        <v>5350</v>
      </c>
      <c r="I984" s="81" t="s">
        <v>627</v>
      </c>
      <c r="J984" s="81">
        <v>3</v>
      </c>
      <c r="K984" s="81">
        <v>118</v>
      </c>
      <c r="L984" s="81" t="s">
        <v>663</v>
      </c>
    </row>
    <row r="985" spans="1:12" ht="15" customHeight="1">
      <c r="A985" s="112">
        <v>11805351</v>
      </c>
      <c r="B985" s="112" t="s">
        <v>2130</v>
      </c>
      <c r="C985" s="81" t="s">
        <v>665</v>
      </c>
      <c r="D985" s="81">
        <v>1100</v>
      </c>
      <c r="E985" s="81" t="s">
        <v>264</v>
      </c>
      <c r="F985" s="81">
        <v>5351</v>
      </c>
      <c r="G985" s="81" t="s">
        <v>282</v>
      </c>
      <c r="H985" s="81">
        <v>5450</v>
      </c>
      <c r="I985" s="81" t="s">
        <v>628</v>
      </c>
      <c r="J985" s="81">
        <v>3</v>
      </c>
      <c r="K985" s="81">
        <v>118</v>
      </c>
      <c r="L985" s="81" t="s">
        <v>663</v>
      </c>
    </row>
    <row r="986" spans="1:12" ht="15" customHeight="1">
      <c r="A986" s="112">
        <v>11805451</v>
      </c>
      <c r="B986" s="112" t="s">
        <v>2131</v>
      </c>
      <c r="C986" s="81" t="s">
        <v>665</v>
      </c>
      <c r="D986" s="81">
        <v>1100</v>
      </c>
      <c r="E986" s="81" t="s">
        <v>264</v>
      </c>
      <c r="F986" s="81">
        <v>5451</v>
      </c>
      <c r="G986" s="81" t="s">
        <v>282</v>
      </c>
      <c r="H986" s="81">
        <v>5550</v>
      </c>
      <c r="I986" s="81" t="s">
        <v>629</v>
      </c>
      <c r="J986" s="81">
        <v>3</v>
      </c>
      <c r="K986" s="81">
        <v>118</v>
      </c>
      <c r="L986" s="81" t="s">
        <v>663</v>
      </c>
    </row>
    <row r="987" spans="1:12" ht="15" customHeight="1">
      <c r="A987" s="112">
        <v>11805551</v>
      </c>
      <c r="B987" s="112" t="s">
        <v>2132</v>
      </c>
      <c r="C987" s="81" t="s">
        <v>665</v>
      </c>
      <c r="D987" s="81">
        <v>1100</v>
      </c>
      <c r="E987" s="81" t="s">
        <v>264</v>
      </c>
      <c r="F987" s="81">
        <v>5551</v>
      </c>
      <c r="G987" s="81" t="s">
        <v>282</v>
      </c>
      <c r="H987" s="81">
        <v>5650</v>
      </c>
      <c r="I987" s="81" t="s">
        <v>630</v>
      </c>
      <c r="J987" s="81">
        <v>3</v>
      </c>
      <c r="K987" s="81">
        <v>118</v>
      </c>
      <c r="L987" s="81" t="s">
        <v>663</v>
      </c>
    </row>
    <row r="988" spans="1:12" ht="15" customHeight="1">
      <c r="A988" s="112">
        <v>11805651</v>
      </c>
      <c r="B988" s="112" t="s">
        <v>2133</v>
      </c>
      <c r="C988" s="81" t="s">
        <v>665</v>
      </c>
      <c r="D988" s="81">
        <v>1100</v>
      </c>
      <c r="E988" s="81" t="s">
        <v>264</v>
      </c>
      <c r="F988" s="81">
        <v>5651</v>
      </c>
      <c r="G988" s="81" t="s">
        <v>282</v>
      </c>
      <c r="H988" s="81">
        <v>5750</v>
      </c>
      <c r="I988" s="81" t="s">
        <v>631</v>
      </c>
      <c r="J988" s="81">
        <v>3</v>
      </c>
      <c r="K988" s="81">
        <v>118</v>
      </c>
      <c r="L988" s="81" t="s">
        <v>663</v>
      </c>
    </row>
    <row r="989" spans="1:12" ht="15" customHeight="1">
      <c r="A989" s="112">
        <v>11805751</v>
      </c>
      <c r="B989" s="112" t="s">
        <v>2134</v>
      </c>
      <c r="C989" s="81" t="s">
        <v>665</v>
      </c>
      <c r="D989" s="81">
        <v>1100</v>
      </c>
      <c r="E989" s="81" t="s">
        <v>264</v>
      </c>
      <c r="F989" s="81">
        <v>5751</v>
      </c>
      <c r="G989" s="81" t="s">
        <v>282</v>
      </c>
      <c r="H989" s="81">
        <v>5850</v>
      </c>
      <c r="I989" s="81" t="s">
        <v>632</v>
      </c>
      <c r="J989" s="81">
        <v>3</v>
      </c>
      <c r="K989" s="81">
        <v>118</v>
      </c>
      <c r="L989" s="81" t="s">
        <v>663</v>
      </c>
    </row>
    <row r="990" spans="1:12" ht="15" customHeight="1">
      <c r="A990" s="112">
        <v>11805851</v>
      </c>
      <c r="B990" s="112" t="s">
        <v>2135</v>
      </c>
      <c r="C990" s="81" t="s">
        <v>665</v>
      </c>
      <c r="D990" s="81">
        <v>1100</v>
      </c>
      <c r="E990" s="81" t="s">
        <v>264</v>
      </c>
      <c r="F990" s="81">
        <v>5851</v>
      </c>
      <c r="G990" s="81" t="s">
        <v>282</v>
      </c>
      <c r="H990" s="81">
        <v>5950</v>
      </c>
      <c r="I990" s="81" t="s">
        <v>633</v>
      </c>
      <c r="J990" s="81">
        <v>3</v>
      </c>
      <c r="K990" s="81">
        <v>118</v>
      </c>
      <c r="L990" s="81" t="s">
        <v>663</v>
      </c>
    </row>
    <row r="991" spans="1:12" ht="15" customHeight="1">
      <c r="A991" s="112">
        <v>11805951</v>
      </c>
      <c r="B991" s="112" t="s">
        <v>2136</v>
      </c>
      <c r="C991" s="81" t="s">
        <v>665</v>
      </c>
      <c r="D991" s="81">
        <v>1100</v>
      </c>
      <c r="E991" s="81" t="s">
        <v>264</v>
      </c>
      <c r="F991" s="81">
        <v>5951</v>
      </c>
      <c r="G991" s="81" t="s">
        <v>282</v>
      </c>
      <c r="H991" s="81">
        <v>6050</v>
      </c>
      <c r="I991" s="81" t="s">
        <v>634</v>
      </c>
      <c r="J991" s="81">
        <v>3</v>
      </c>
      <c r="K991" s="81">
        <v>118</v>
      </c>
      <c r="L991" s="81" t="s">
        <v>663</v>
      </c>
    </row>
    <row r="992" spans="1:12" ht="15" customHeight="1">
      <c r="A992" s="112">
        <v>11806051</v>
      </c>
      <c r="B992" s="112" t="s">
        <v>2137</v>
      </c>
      <c r="C992" s="81" t="s">
        <v>665</v>
      </c>
      <c r="D992" s="81">
        <v>1100</v>
      </c>
      <c r="E992" s="81" t="s">
        <v>264</v>
      </c>
      <c r="F992" s="81">
        <v>6051</v>
      </c>
      <c r="G992" s="81" t="s">
        <v>282</v>
      </c>
      <c r="H992" s="81">
        <v>6150</v>
      </c>
      <c r="I992" s="81" t="s">
        <v>635</v>
      </c>
      <c r="J992" s="81">
        <v>4</v>
      </c>
      <c r="K992" s="81">
        <v>118</v>
      </c>
      <c r="L992" s="81" t="s">
        <v>663</v>
      </c>
    </row>
    <row r="993" spans="1:12" ht="15" customHeight="1">
      <c r="A993" s="112">
        <v>11806151</v>
      </c>
      <c r="B993" s="112" t="s">
        <v>2138</v>
      </c>
      <c r="C993" s="81" t="s">
        <v>665</v>
      </c>
      <c r="D993" s="81">
        <v>1100</v>
      </c>
      <c r="E993" s="81" t="s">
        <v>264</v>
      </c>
      <c r="F993" s="81">
        <v>6151</v>
      </c>
      <c r="G993" s="81" t="s">
        <v>282</v>
      </c>
      <c r="H993" s="81">
        <v>6250</v>
      </c>
      <c r="I993" s="81" t="s">
        <v>636</v>
      </c>
      <c r="J993" s="81">
        <v>4</v>
      </c>
      <c r="K993" s="81">
        <v>118</v>
      </c>
      <c r="L993" s="81" t="s">
        <v>663</v>
      </c>
    </row>
    <row r="994" spans="1:12" ht="15" customHeight="1">
      <c r="A994" s="112">
        <v>11806251</v>
      </c>
      <c r="B994" s="112" t="s">
        <v>2139</v>
      </c>
      <c r="C994" s="81" t="s">
        <v>665</v>
      </c>
      <c r="D994" s="81">
        <v>1100</v>
      </c>
      <c r="E994" s="81" t="s">
        <v>264</v>
      </c>
      <c r="F994" s="81">
        <v>6251</v>
      </c>
      <c r="G994" s="81" t="s">
        <v>282</v>
      </c>
      <c r="H994" s="81">
        <v>6350</v>
      </c>
      <c r="I994" s="81" t="s">
        <v>637</v>
      </c>
      <c r="J994" s="81">
        <v>4</v>
      </c>
      <c r="K994" s="81">
        <v>118</v>
      </c>
      <c r="L994" s="81" t="s">
        <v>663</v>
      </c>
    </row>
    <row r="995" spans="1:12" ht="15" customHeight="1">
      <c r="A995" s="112">
        <v>11806351</v>
      </c>
      <c r="B995" s="112" t="s">
        <v>2140</v>
      </c>
      <c r="C995" s="81" t="s">
        <v>665</v>
      </c>
      <c r="D995" s="81">
        <v>1100</v>
      </c>
      <c r="E995" s="81" t="s">
        <v>264</v>
      </c>
      <c r="F995" s="81">
        <v>6351</v>
      </c>
      <c r="G995" s="81" t="s">
        <v>282</v>
      </c>
      <c r="H995" s="81">
        <v>6450</v>
      </c>
      <c r="I995" s="81" t="s">
        <v>638</v>
      </c>
      <c r="J995" s="81">
        <v>4</v>
      </c>
      <c r="K995" s="81">
        <v>118</v>
      </c>
      <c r="L995" s="81" t="s">
        <v>663</v>
      </c>
    </row>
    <row r="996" spans="1:12" ht="15" customHeight="1">
      <c r="A996" s="112">
        <v>11806451</v>
      </c>
      <c r="B996" s="112" t="s">
        <v>2141</v>
      </c>
      <c r="C996" s="81" t="s">
        <v>665</v>
      </c>
      <c r="D996" s="81">
        <v>1100</v>
      </c>
      <c r="E996" s="81" t="s">
        <v>264</v>
      </c>
      <c r="F996" s="81">
        <v>6451</v>
      </c>
      <c r="G996" s="81" t="s">
        <v>282</v>
      </c>
      <c r="H996" s="81">
        <v>6550</v>
      </c>
      <c r="I996" s="81" t="s">
        <v>639</v>
      </c>
      <c r="J996" s="81">
        <v>4</v>
      </c>
      <c r="K996" s="81">
        <v>118</v>
      </c>
      <c r="L996" s="81" t="s">
        <v>663</v>
      </c>
    </row>
    <row r="997" spans="1:12" ht="15" customHeight="1">
      <c r="A997" s="112">
        <v>11806551</v>
      </c>
      <c r="B997" s="112" t="s">
        <v>2142</v>
      </c>
      <c r="C997" s="81" t="s">
        <v>665</v>
      </c>
      <c r="D997" s="81">
        <v>1100</v>
      </c>
      <c r="E997" s="81" t="s">
        <v>264</v>
      </c>
      <c r="F997" s="81">
        <v>6551</v>
      </c>
      <c r="G997" s="81" t="s">
        <v>282</v>
      </c>
      <c r="H997" s="81">
        <v>6650</v>
      </c>
      <c r="I997" s="81" t="s">
        <v>640</v>
      </c>
      <c r="J997" s="81">
        <v>4</v>
      </c>
      <c r="K997" s="81">
        <v>118</v>
      </c>
      <c r="L997" s="81" t="s">
        <v>663</v>
      </c>
    </row>
    <row r="998" spans="1:12" ht="15" customHeight="1">
      <c r="A998" s="112">
        <v>11806651</v>
      </c>
      <c r="B998" s="112" t="s">
        <v>2143</v>
      </c>
      <c r="C998" s="81" t="s">
        <v>665</v>
      </c>
      <c r="D998" s="81">
        <v>1100</v>
      </c>
      <c r="E998" s="81" t="s">
        <v>264</v>
      </c>
      <c r="F998" s="81">
        <v>6651</v>
      </c>
      <c r="G998" s="81" t="s">
        <v>282</v>
      </c>
      <c r="H998" s="81">
        <v>6750</v>
      </c>
      <c r="I998" s="81" t="s">
        <v>641</v>
      </c>
      <c r="J998" s="81">
        <v>4</v>
      </c>
      <c r="K998" s="81">
        <v>118</v>
      </c>
      <c r="L998" s="81" t="s">
        <v>663</v>
      </c>
    </row>
    <row r="999" spans="1:12" ht="15" customHeight="1">
      <c r="A999" s="112">
        <v>11806751</v>
      </c>
      <c r="B999" s="112" t="s">
        <v>2144</v>
      </c>
      <c r="C999" s="81" t="s">
        <v>665</v>
      </c>
      <c r="D999" s="81">
        <v>1100</v>
      </c>
      <c r="E999" s="81" t="s">
        <v>264</v>
      </c>
      <c r="F999" s="81">
        <v>6751</v>
      </c>
      <c r="G999" s="81" t="s">
        <v>282</v>
      </c>
      <c r="H999" s="81">
        <v>6850</v>
      </c>
      <c r="I999" s="81" t="s">
        <v>642</v>
      </c>
      <c r="J999" s="81">
        <v>4</v>
      </c>
      <c r="K999" s="81">
        <v>118</v>
      </c>
      <c r="L999" s="81" t="s">
        <v>663</v>
      </c>
    </row>
    <row r="1000" spans="1:12" ht="15" customHeight="1">
      <c r="A1000" s="112">
        <v>11806851</v>
      </c>
      <c r="B1000" s="112" t="s">
        <v>2145</v>
      </c>
      <c r="C1000" s="81" t="s">
        <v>665</v>
      </c>
      <c r="D1000" s="81">
        <v>1100</v>
      </c>
      <c r="E1000" s="81" t="s">
        <v>264</v>
      </c>
      <c r="F1000" s="81">
        <v>6851</v>
      </c>
      <c r="G1000" s="81" t="s">
        <v>282</v>
      </c>
      <c r="H1000" s="81">
        <v>6950</v>
      </c>
      <c r="I1000" s="81" t="s">
        <v>643</v>
      </c>
      <c r="J1000" s="81">
        <v>5</v>
      </c>
      <c r="K1000" s="81">
        <v>118</v>
      </c>
      <c r="L1000" s="81" t="s">
        <v>663</v>
      </c>
    </row>
    <row r="1001" spans="1:12" ht="15" customHeight="1">
      <c r="A1001" s="112">
        <v>11806951</v>
      </c>
      <c r="B1001" s="112" t="s">
        <v>2146</v>
      </c>
      <c r="C1001" s="81" t="s">
        <v>665</v>
      </c>
      <c r="D1001" s="81">
        <v>1100</v>
      </c>
      <c r="E1001" s="81" t="s">
        <v>264</v>
      </c>
      <c r="F1001" s="81">
        <v>6951</v>
      </c>
      <c r="G1001" s="81" t="s">
        <v>282</v>
      </c>
      <c r="H1001" s="81">
        <v>7050</v>
      </c>
      <c r="I1001" s="81" t="s">
        <v>644</v>
      </c>
      <c r="J1001" s="81">
        <v>5</v>
      </c>
      <c r="K1001" s="81">
        <v>118</v>
      </c>
      <c r="L1001" s="81" t="s">
        <v>663</v>
      </c>
    </row>
    <row r="1002" spans="1:12" ht="15" customHeight="1">
      <c r="A1002" s="112">
        <v>11807051</v>
      </c>
      <c r="B1002" s="112" t="s">
        <v>2147</v>
      </c>
      <c r="C1002" s="81" t="s">
        <v>665</v>
      </c>
      <c r="D1002" s="81">
        <v>1100</v>
      </c>
      <c r="E1002" s="81" t="s">
        <v>264</v>
      </c>
      <c r="F1002" s="81">
        <v>7051</v>
      </c>
      <c r="G1002" s="81" t="s">
        <v>282</v>
      </c>
      <c r="H1002" s="81">
        <v>7150</v>
      </c>
      <c r="I1002" s="81" t="s">
        <v>645</v>
      </c>
      <c r="J1002" s="81">
        <v>5</v>
      </c>
      <c r="K1002" s="81">
        <v>118</v>
      </c>
      <c r="L1002" s="81" t="s">
        <v>663</v>
      </c>
    </row>
    <row r="1003" spans="1:12" ht="15" customHeight="1">
      <c r="A1003" s="112">
        <v>11807151</v>
      </c>
      <c r="B1003" s="112" t="s">
        <v>2148</v>
      </c>
      <c r="C1003" s="81" t="s">
        <v>665</v>
      </c>
      <c r="D1003" s="81">
        <v>1100</v>
      </c>
      <c r="E1003" s="81" t="s">
        <v>264</v>
      </c>
      <c r="F1003" s="81">
        <v>7151</v>
      </c>
      <c r="G1003" s="81" t="s">
        <v>282</v>
      </c>
      <c r="H1003" s="81">
        <v>7250</v>
      </c>
      <c r="I1003" s="81" t="s">
        <v>646</v>
      </c>
      <c r="J1003" s="81">
        <v>5</v>
      </c>
      <c r="K1003" s="81">
        <v>118</v>
      </c>
      <c r="L1003" s="81" t="s">
        <v>663</v>
      </c>
    </row>
    <row r="1004" spans="1:12" ht="15" customHeight="1">
      <c r="A1004" s="112">
        <v>11807251</v>
      </c>
      <c r="B1004" s="112" t="s">
        <v>2149</v>
      </c>
      <c r="C1004" s="81" t="s">
        <v>665</v>
      </c>
      <c r="D1004" s="81">
        <v>1100</v>
      </c>
      <c r="E1004" s="81" t="s">
        <v>264</v>
      </c>
      <c r="F1004" s="81">
        <v>7251</v>
      </c>
      <c r="G1004" s="81" t="s">
        <v>282</v>
      </c>
      <c r="H1004" s="81">
        <v>7350</v>
      </c>
      <c r="I1004" s="81" t="s">
        <v>647</v>
      </c>
      <c r="J1004" s="81">
        <v>5</v>
      </c>
      <c r="K1004" s="81">
        <v>118</v>
      </c>
      <c r="L1004" s="81" t="s">
        <v>663</v>
      </c>
    </row>
    <row r="1005" spans="1:12" ht="15" customHeight="1">
      <c r="A1005" s="112">
        <v>11807351</v>
      </c>
      <c r="B1005" s="112" t="s">
        <v>2150</v>
      </c>
      <c r="C1005" s="81" t="s">
        <v>665</v>
      </c>
      <c r="D1005" s="81">
        <v>1100</v>
      </c>
      <c r="E1005" s="81" t="s">
        <v>264</v>
      </c>
      <c r="F1005" s="81">
        <v>7351</v>
      </c>
      <c r="G1005" s="81" t="s">
        <v>282</v>
      </c>
      <c r="H1005" s="81">
        <v>7450</v>
      </c>
      <c r="I1005" s="81" t="s">
        <v>648</v>
      </c>
      <c r="J1005" s="81">
        <v>5</v>
      </c>
      <c r="K1005" s="81">
        <v>118</v>
      </c>
      <c r="L1005" s="81" t="s">
        <v>663</v>
      </c>
    </row>
    <row r="1006" spans="1:12" ht="15" customHeight="1">
      <c r="A1006" s="112">
        <v>11807451</v>
      </c>
      <c r="B1006" s="112" t="s">
        <v>2151</v>
      </c>
      <c r="C1006" s="81" t="s">
        <v>665</v>
      </c>
      <c r="D1006" s="81">
        <v>1100</v>
      </c>
      <c r="E1006" s="81" t="s">
        <v>264</v>
      </c>
      <c r="F1006" s="81">
        <v>7451</v>
      </c>
      <c r="G1006" s="81" t="s">
        <v>282</v>
      </c>
      <c r="H1006" s="81">
        <v>7550</v>
      </c>
      <c r="I1006" s="81" t="s">
        <v>649</v>
      </c>
      <c r="J1006" s="81">
        <v>5</v>
      </c>
      <c r="K1006" s="81">
        <v>118</v>
      </c>
      <c r="L1006" s="81" t="s">
        <v>663</v>
      </c>
    </row>
    <row r="1007" spans="1:12" ht="15" customHeight="1">
      <c r="A1007" s="112">
        <v>11807551</v>
      </c>
      <c r="B1007" s="112" t="s">
        <v>2152</v>
      </c>
      <c r="C1007" s="81" t="s">
        <v>665</v>
      </c>
      <c r="D1007" s="81">
        <v>1100</v>
      </c>
      <c r="E1007" s="81" t="s">
        <v>264</v>
      </c>
      <c r="F1007" s="81">
        <v>7551</v>
      </c>
      <c r="G1007" s="81" t="s">
        <v>282</v>
      </c>
      <c r="H1007" s="81">
        <v>7650</v>
      </c>
      <c r="I1007" s="81" t="s">
        <v>650</v>
      </c>
      <c r="J1007" s="81">
        <v>5</v>
      </c>
      <c r="K1007" s="81">
        <v>118</v>
      </c>
      <c r="L1007" s="81" t="s">
        <v>663</v>
      </c>
    </row>
    <row r="1008" spans="1:12" ht="15" customHeight="1">
      <c r="A1008" s="112">
        <v>11807651</v>
      </c>
      <c r="B1008" s="112" t="s">
        <v>2153</v>
      </c>
      <c r="C1008" s="81" t="s">
        <v>665</v>
      </c>
      <c r="D1008" s="81">
        <v>1100</v>
      </c>
      <c r="E1008" s="81" t="s">
        <v>264</v>
      </c>
      <c r="F1008" s="81">
        <v>7651</v>
      </c>
      <c r="G1008" s="81" t="s">
        <v>282</v>
      </c>
      <c r="H1008" s="81">
        <v>7750</v>
      </c>
      <c r="I1008" s="81" t="s">
        <v>651</v>
      </c>
      <c r="J1008" s="81">
        <v>6</v>
      </c>
      <c r="K1008" s="81">
        <v>118</v>
      </c>
      <c r="L1008" s="81" t="s">
        <v>663</v>
      </c>
    </row>
    <row r="1009" spans="1:12" ht="15" customHeight="1">
      <c r="A1009" s="112">
        <v>11807751</v>
      </c>
      <c r="B1009" s="112" t="s">
        <v>2154</v>
      </c>
      <c r="C1009" s="81" t="s">
        <v>665</v>
      </c>
      <c r="D1009" s="81">
        <v>1100</v>
      </c>
      <c r="E1009" s="81" t="s">
        <v>264</v>
      </c>
      <c r="F1009" s="81">
        <v>7751</v>
      </c>
      <c r="G1009" s="81" t="s">
        <v>282</v>
      </c>
      <c r="H1009" s="81">
        <v>7850</v>
      </c>
      <c r="I1009" s="81" t="s">
        <v>652</v>
      </c>
      <c r="J1009" s="81">
        <v>6</v>
      </c>
      <c r="K1009" s="81">
        <v>118</v>
      </c>
      <c r="L1009" s="81" t="s">
        <v>663</v>
      </c>
    </row>
    <row r="1010" spans="1:12" ht="15" customHeight="1">
      <c r="A1010" s="112">
        <v>11807851</v>
      </c>
      <c r="B1010" s="112" t="s">
        <v>2155</v>
      </c>
      <c r="C1010" s="81" t="s">
        <v>665</v>
      </c>
      <c r="D1010" s="81">
        <v>1100</v>
      </c>
      <c r="E1010" s="81" t="s">
        <v>264</v>
      </c>
      <c r="F1010" s="81">
        <v>7851</v>
      </c>
      <c r="G1010" s="81" t="s">
        <v>282</v>
      </c>
      <c r="H1010" s="81">
        <v>7950</v>
      </c>
      <c r="I1010" s="81" t="s">
        <v>653</v>
      </c>
      <c r="J1010" s="81">
        <v>6</v>
      </c>
      <c r="K1010" s="81">
        <v>118</v>
      </c>
      <c r="L1010" s="81" t="s">
        <v>663</v>
      </c>
    </row>
    <row r="1011" spans="1:12" ht="15" customHeight="1">
      <c r="A1011" s="112">
        <v>11807951</v>
      </c>
      <c r="B1011" s="112" t="s">
        <v>2156</v>
      </c>
      <c r="C1011" s="81" t="s">
        <v>665</v>
      </c>
      <c r="D1011" s="81">
        <v>1100</v>
      </c>
      <c r="E1011" s="81" t="s">
        <v>264</v>
      </c>
      <c r="F1011" s="81">
        <v>7951</v>
      </c>
      <c r="G1011" s="81" t="s">
        <v>282</v>
      </c>
      <c r="H1011" s="81">
        <v>8050</v>
      </c>
      <c r="I1011" s="81" t="s">
        <v>654</v>
      </c>
      <c r="J1011" s="81">
        <v>6</v>
      </c>
      <c r="K1011" s="81">
        <v>118</v>
      </c>
      <c r="L1011" s="81" t="s">
        <v>663</v>
      </c>
    </row>
    <row r="1012" spans="1:12" ht="15" customHeight="1">
      <c r="A1012" s="112">
        <v>11900000</v>
      </c>
      <c r="B1012" s="112" t="s">
        <v>2157</v>
      </c>
      <c r="C1012" s="81" t="s">
        <v>665</v>
      </c>
      <c r="D1012" s="81">
        <v>1200</v>
      </c>
      <c r="E1012" s="81" t="s">
        <v>596</v>
      </c>
      <c r="F1012" s="81">
        <v>0</v>
      </c>
      <c r="G1012" s="81" t="s">
        <v>282</v>
      </c>
      <c r="H1012" s="81">
        <v>2645</v>
      </c>
      <c r="I1012" s="81" t="s">
        <v>597</v>
      </c>
      <c r="J1012" s="81">
        <v>0</v>
      </c>
      <c r="K1012" s="81">
        <v>119</v>
      </c>
      <c r="L1012" s="81" t="s">
        <v>663</v>
      </c>
    </row>
    <row r="1013" spans="1:12" ht="15" customHeight="1">
      <c r="A1013" s="112">
        <v>11902646</v>
      </c>
      <c r="B1013" s="112" t="s">
        <v>2158</v>
      </c>
      <c r="C1013" s="81" t="s">
        <v>665</v>
      </c>
      <c r="D1013" s="81">
        <v>1200</v>
      </c>
      <c r="E1013" s="81" t="s">
        <v>596</v>
      </c>
      <c r="F1013" s="81">
        <v>2646</v>
      </c>
      <c r="G1013" s="81" t="s">
        <v>282</v>
      </c>
      <c r="H1013" s="81">
        <v>2715</v>
      </c>
      <c r="I1013" s="81" t="s">
        <v>599</v>
      </c>
      <c r="J1013" s="81">
        <v>0</v>
      </c>
      <c r="K1013" s="81">
        <v>119</v>
      </c>
      <c r="L1013" s="81" t="s">
        <v>663</v>
      </c>
    </row>
    <row r="1014" spans="1:12" ht="15" customHeight="1">
      <c r="A1014" s="112">
        <v>11902716</v>
      </c>
      <c r="B1014" s="112" t="s">
        <v>2159</v>
      </c>
      <c r="C1014" s="81" t="s">
        <v>665</v>
      </c>
      <c r="D1014" s="81">
        <v>1200</v>
      </c>
      <c r="E1014" s="81" t="s">
        <v>596</v>
      </c>
      <c r="F1014" s="81">
        <v>2716</v>
      </c>
      <c r="G1014" s="81" t="s">
        <v>282</v>
      </c>
      <c r="H1014" s="81">
        <v>2765</v>
      </c>
      <c r="I1014" s="81" t="s">
        <v>600</v>
      </c>
      <c r="J1014" s="81">
        <v>0</v>
      </c>
      <c r="K1014" s="81">
        <v>119</v>
      </c>
      <c r="L1014" s="81" t="s">
        <v>663</v>
      </c>
    </row>
    <row r="1015" spans="1:12" ht="15" customHeight="1">
      <c r="A1015" s="112">
        <v>11902766</v>
      </c>
      <c r="B1015" s="112" t="s">
        <v>2160</v>
      </c>
      <c r="C1015" s="81" t="s">
        <v>665</v>
      </c>
      <c r="D1015" s="81">
        <v>1200</v>
      </c>
      <c r="E1015" s="81" t="s">
        <v>596</v>
      </c>
      <c r="F1015" s="81">
        <v>2766</v>
      </c>
      <c r="G1015" s="81" t="s">
        <v>282</v>
      </c>
      <c r="H1015" s="81">
        <v>2865</v>
      </c>
      <c r="I1015" s="81" t="s">
        <v>602</v>
      </c>
      <c r="J1015" s="81">
        <v>0</v>
      </c>
      <c r="K1015" s="81">
        <v>119</v>
      </c>
      <c r="L1015" s="81" t="s">
        <v>663</v>
      </c>
    </row>
    <row r="1016" spans="1:12" ht="15" customHeight="1">
      <c r="A1016" s="112">
        <v>11902866</v>
      </c>
      <c r="B1016" s="112" t="s">
        <v>2161</v>
      </c>
      <c r="C1016" s="81" t="s">
        <v>665</v>
      </c>
      <c r="D1016" s="81">
        <v>1200</v>
      </c>
      <c r="E1016" s="81" t="s">
        <v>596</v>
      </c>
      <c r="F1016" s="81">
        <v>2866</v>
      </c>
      <c r="G1016" s="81" t="s">
        <v>282</v>
      </c>
      <c r="H1016" s="81">
        <v>2965</v>
      </c>
      <c r="I1016" s="81" t="s">
        <v>603</v>
      </c>
      <c r="J1016" s="81">
        <v>0</v>
      </c>
      <c r="K1016" s="81">
        <v>119</v>
      </c>
      <c r="L1016" s="81" t="s">
        <v>663</v>
      </c>
    </row>
    <row r="1017" spans="1:12" ht="15" customHeight="1">
      <c r="A1017" s="112">
        <v>11902966</v>
      </c>
      <c r="B1017" s="112" t="s">
        <v>2162</v>
      </c>
      <c r="C1017" s="81" t="s">
        <v>665</v>
      </c>
      <c r="D1017" s="81">
        <v>1200</v>
      </c>
      <c r="E1017" s="81" t="s">
        <v>596</v>
      </c>
      <c r="F1017" s="81">
        <v>2966</v>
      </c>
      <c r="G1017" s="81" t="s">
        <v>282</v>
      </c>
      <c r="H1017" s="81">
        <v>3065</v>
      </c>
      <c r="I1017" s="81" t="s">
        <v>604</v>
      </c>
      <c r="J1017" s="81">
        <v>0</v>
      </c>
      <c r="K1017" s="81">
        <v>119</v>
      </c>
      <c r="L1017" s="81" t="s">
        <v>663</v>
      </c>
    </row>
    <row r="1018" spans="1:12" ht="15" customHeight="1">
      <c r="A1018" s="112">
        <v>11903066</v>
      </c>
      <c r="B1018" s="112" t="s">
        <v>2163</v>
      </c>
      <c r="C1018" s="81" t="s">
        <v>665</v>
      </c>
      <c r="D1018" s="81">
        <v>1200</v>
      </c>
      <c r="E1018" s="81" t="s">
        <v>596</v>
      </c>
      <c r="F1018" s="81">
        <v>3066</v>
      </c>
      <c r="G1018" s="81" t="s">
        <v>282</v>
      </c>
      <c r="H1018" s="81">
        <v>3165</v>
      </c>
      <c r="I1018" s="81" t="s">
        <v>605</v>
      </c>
      <c r="J1018" s="81">
        <v>0</v>
      </c>
      <c r="K1018" s="81">
        <v>119</v>
      </c>
      <c r="L1018" s="81" t="s">
        <v>663</v>
      </c>
    </row>
    <row r="1019" spans="1:12" ht="15" customHeight="1">
      <c r="A1019" s="112">
        <v>11903166</v>
      </c>
      <c r="B1019" s="112" t="s">
        <v>2164</v>
      </c>
      <c r="C1019" s="81" t="s">
        <v>665</v>
      </c>
      <c r="D1019" s="81">
        <v>1200</v>
      </c>
      <c r="E1019" s="81" t="s">
        <v>596</v>
      </c>
      <c r="F1019" s="81">
        <v>3166</v>
      </c>
      <c r="G1019" s="81" t="s">
        <v>282</v>
      </c>
      <c r="H1019" s="81">
        <v>3265</v>
      </c>
      <c r="I1019" s="81" t="s">
        <v>606</v>
      </c>
      <c r="J1019" s="81">
        <v>0</v>
      </c>
      <c r="K1019" s="81">
        <v>119</v>
      </c>
      <c r="L1019" s="81" t="s">
        <v>663</v>
      </c>
    </row>
    <row r="1020" spans="1:12" ht="15" customHeight="1">
      <c r="A1020" s="112">
        <v>11903266</v>
      </c>
      <c r="B1020" s="112" t="s">
        <v>2165</v>
      </c>
      <c r="C1020" s="81" t="s">
        <v>665</v>
      </c>
      <c r="D1020" s="81">
        <v>1200</v>
      </c>
      <c r="E1020" s="81" t="s">
        <v>596</v>
      </c>
      <c r="F1020" s="81">
        <v>3266</v>
      </c>
      <c r="G1020" s="81" t="s">
        <v>282</v>
      </c>
      <c r="H1020" s="81">
        <v>3365</v>
      </c>
      <c r="I1020" s="81" t="s">
        <v>607</v>
      </c>
      <c r="J1020" s="81">
        <v>0</v>
      </c>
      <c r="K1020" s="81">
        <v>119</v>
      </c>
      <c r="L1020" s="81" t="s">
        <v>663</v>
      </c>
    </row>
    <row r="1021" spans="1:12" ht="15" customHeight="1">
      <c r="A1021" s="112">
        <v>11903366</v>
      </c>
      <c r="B1021" s="112" t="s">
        <v>2166</v>
      </c>
      <c r="C1021" s="81" t="s">
        <v>665</v>
      </c>
      <c r="D1021" s="81">
        <v>1200</v>
      </c>
      <c r="E1021" s="81" t="s">
        <v>596</v>
      </c>
      <c r="F1021" s="81">
        <v>3366</v>
      </c>
      <c r="G1021" s="81" t="s">
        <v>282</v>
      </c>
      <c r="H1021" s="81">
        <v>3465</v>
      </c>
      <c r="I1021" s="81" t="s">
        <v>608</v>
      </c>
      <c r="J1021" s="81">
        <v>0</v>
      </c>
      <c r="K1021" s="81">
        <v>119</v>
      </c>
      <c r="L1021" s="81" t="s">
        <v>663</v>
      </c>
    </row>
    <row r="1022" spans="1:12" ht="15" customHeight="1">
      <c r="A1022" s="112">
        <v>11903466</v>
      </c>
      <c r="B1022" s="112" t="s">
        <v>2167</v>
      </c>
      <c r="C1022" s="81" t="s">
        <v>665</v>
      </c>
      <c r="D1022" s="81">
        <v>1200</v>
      </c>
      <c r="E1022" s="81" t="s">
        <v>596</v>
      </c>
      <c r="F1022" s="81">
        <v>3466</v>
      </c>
      <c r="G1022" s="81" t="s">
        <v>282</v>
      </c>
      <c r="H1022" s="81">
        <v>3565</v>
      </c>
      <c r="I1022" s="81" t="s">
        <v>609</v>
      </c>
      <c r="J1022" s="81">
        <v>0</v>
      </c>
      <c r="K1022" s="81">
        <v>119</v>
      </c>
      <c r="L1022" s="81" t="s">
        <v>663</v>
      </c>
    </row>
    <row r="1023" spans="1:12" ht="15" customHeight="1">
      <c r="A1023" s="112">
        <v>11903566</v>
      </c>
      <c r="B1023" s="112" t="s">
        <v>2168</v>
      </c>
      <c r="C1023" s="81" t="s">
        <v>665</v>
      </c>
      <c r="D1023" s="81">
        <v>1200</v>
      </c>
      <c r="E1023" s="81" t="s">
        <v>596</v>
      </c>
      <c r="F1023" s="81">
        <v>3566</v>
      </c>
      <c r="G1023" s="81" t="s">
        <v>282</v>
      </c>
      <c r="H1023" s="81">
        <v>3665</v>
      </c>
      <c r="I1023" s="81" t="s">
        <v>610</v>
      </c>
      <c r="J1023" s="81">
        <v>0</v>
      </c>
      <c r="K1023" s="81">
        <v>119</v>
      </c>
      <c r="L1023" s="81" t="s">
        <v>663</v>
      </c>
    </row>
    <row r="1024" spans="1:12" ht="15" customHeight="1">
      <c r="A1024" s="112">
        <v>11903666</v>
      </c>
      <c r="B1024" s="112" t="s">
        <v>2169</v>
      </c>
      <c r="C1024" s="81" t="s">
        <v>665</v>
      </c>
      <c r="D1024" s="81">
        <v>1200</v>
      </c>
      <c r="E1024" s="81" t="s">
        <v>596</v>
      </c>
      <c r="F1024" s="81">
        <v>3666</v>
      </c>
      <c r="G1024" s="81" t="s">
        <v>282</v>
      </c>
      <c r="H1024" s="81">
        <v>3765</v>
      </c>
      <c r="I1024" s="81" t="s">
        <v>611</v>
      </c>
      <c r="J1024" s="81">
        <v>1</v>
      </c>
      <c r="K1024" s="81">
        <v>119</v>
      </c>
      <c r="L1024" s="81" t="s">
        <v>663</v>
      </c>
    </row>
    <row r="1025" spans="1:12" ht="15" customHeight="1">
      <c r="A1025" s="112">
        <v>11903766</v>
      </c>
      <c r="B1025" s="112" t="s">
        <v>2170</v>
      </c>
      <c r="C1025" s="81" t="s">
        <v>665</v>
      </c>
      <c r="D1025" s="81">
        <v>1200</v>
      </c>
      <c r="E1025" s="81" t="s">
        <v>596</v>
      </c>
      <c r="F1025" s="81">
        <v>3766</v>
      </c>
      <c r="G1025" s="81" t="s">
        <v>282</v>
      </c>
      <c r="H1025" s="81">
        <v>3865</v>
      </c>
      <c r="I1025" s="81" t="s">
        <v>612</v>
      </c>
      <c r="J1025" s="81">
        <v>1</v>
      </c>
      <c r="K1025" s="81">
        <v>119</v>
      </c>
      <c r="L1025" s="81" t="s">
        <v>663</v>
      </c>
    </row>
    <row r="1026" spans="1:12" ht="15" customHeight="1">
      <c r="A1026" s="112">
        <v>11903866</v>
      </c>
      <c r="B1026" s="112" t="s">
        <v>2171</v>
      </c>
      <c r="C1026" s="81" t="s">
        <v>665</v>
      </c>
      <c r="D1026" s="81">
        <v>1200</v>
      </c>
      <c r="E1026" s="81" t="s">
        <v>596</v>
      </c>
      <c r="F1026" s="81">
        <v>3866</v>
      </c>
      <c r="G1026" s="81" t="s">
        <v>282</v>
      </c>
      <c r="H1026" s="81">
        <v>3965</v>
      </c>
      <c r="I1026" s="81" t="s">
        <v>613</v>
      </c>
      <c r="J1026" s="81">
        <v>1</v>
      </c>
      <c r="K1026" s="81">
        <v>119</v>
      </c>
      <c r="L1026" s="81" t="s">
        <v>663</v>
      </c>
    </row>
    <row r="1027" spans="1:12" ht="15" customHeight="1">
      <c r="A1027" s="112">
        <v>11903966</v>
      </c>
      <c r="B1027" s="112" t="s">
        <v>2172</v>
      </c>
      <c r="C1027" s="81" t="s">
        <v>665</v>
      </c>
      <c r="D1027" s="81">
        <v>1200</v>
      </c>
      <c r="E1027" s="81" t="s">
        <v>596</v>
      </c>
      <c r="F1027" s="81">
        <v>3966</v>
      </c>
      <c r="G1027" s="81" t="s">
        <v>282</v>
      </c>
      <c r="H1027" s="81">
        <v>4065</v>
      </c>
      <c r="I1027" s="81" t="s">
        <v>614</v>
      </c>
      <c r="J1027" s="81">
        <v>1</v>
      </c>
      <c r="K1027" s="81">
        <v>119</v>
      </c>
      <c r="L1027" s="81" t="s">
        <v>663</v>
      </c>
    </row>
    <row r="1028" spans="1:12" ht="15" customHeight="1">
      <c r="A1028" s="112">
        <v>11904066</v>
      </c>
      <c r="B1028" s="112" t="s">
        <v>2173</v>
      </c>
      <c r="C1028" s="81" t="s">
        <v>665</v>
      </c>
      <c r="D1028" s="81">
        <v>1200</v>
      </c>
      <c r="E1028" s="81" t="s">
        <v>596</v>
      </c>
      <c r="F1028" s="81">
        <v>4066</v>
      </c>
      <c r="G1028" s="81" t="s">
        <v>282</v>
      </c>
      <c r="H1028" s="81">
        <v>4165</v>
      </c>
      <c r="I1028" s="81" t="s">
        <v>615</v>
      </c>
      <c r="J1028" s="81">
        <v>1</v>
      </c>
      <c r="K1028" s="81">
        <v>119</v>
      </c>
      <c r="L1028" s="81" t="s">
        <v>663</v>
      </c>
    </row>
    <row r="1029" spans="1:12" ht="15" customHeight="1">
      <c r="A1029" s="112">
        <v>11904166</v>
      </c>
      <c r="B1029" s="112" t="s">
        <v>2174</v>
      </c>
      <c r="C1029" s="81" t="s">
        <v>665</v>
      </c>
      <c r="D1029" s="81">
        <v>1200</v>
      </c>
      <c r="E1029" s="81" t="s">
        <v>596</v>
      </c>
      <c r="F1029" s="81">
        <v>4166</v>
      </c>
      <c r="G1029" s="81" t="s">
        <v>282</v>
      </c>
      <c r="H1029" s="81">
        <v>4265</v>
      </c>
      <c r="I1029" s="81" t="s">
        <v>616</v>
      </c>
      <c r="J1029" s="81">
        <v>1</v>
      </c>
      <c r="K1029" s="81">
        <v>119</v>
      </c>
      <c r="L1029" s="81" t="s">
        <v>663</v>
      </c>
    </row>
    <row r="1030" spans="1:12" ht="15" customHeight="1">
      <c r="A1030" s="112">
        <v>11904266</v>
      </c>
      <c r="B1030" s="112" t="s">
        <v>2175</v>
      </c>
      <c r="C1030" s="81" t="s">
        <v>665</v>
      </c>
      <c r="D1030" s="81">
        <v>1200</v>
      </c>
      <c r="E1030" s="81" t="s">
        <v>596</v>
      </c>
      <c r="F1030" s="81">
        <v>4266</v>
      </c>
      <c r="G1030" s="81" t="s">
        <v>282</v>
      </c>
      <c r="H1030" s="81">
        <v>4365</v>
      </c>
      <c r="I1030" s="81" t="s">
        <v>617</v>
      </c>
      <c r="J1030" s="81">
        <v>1</v>
      </c>
      <c r="K1030" s="81">
        <v>119</v>
      </c>
      <c r="L1030" s="81" t="s">
        <v>663</v>
      </c>
    </row>
    <row r="1031" spans="1:12" ht="15" customHeight="1">
      <c r="A1031" s="112">
        <v>11904366</v>
      </c>
      <c r="B1031" s="112" t="s">
        <v>2176</v>
      </c>
      <c r="C1031" s="81" t="s">
        <v>665</v>
      </c>
      <c r="D1031" s="81">
        <v>1200</v>
      </c>
      <c r="E1031" s="81" t="s">
        <v>596</v>
      </c>
      <c r="F1031" s="81">
        <v>4366</v>
      </c>
      <c r="G1031" s="81" t="s">
        <v>282</v>
      </c>
      <c r="H1031" s="81">
        <v>4465</v>
      </c>
      <c r="I1031" s="81" t="s">
        <v>618</v>
      </c>
      <c r="J1031" s="81">
        <v>1</v>
      </c>
      <c r="K1031" s="81">
        <v>119</v>
      </c>
      <c r="L1031" s="81" t="s">
        <v>663</v>
      </c>
    </row>
    <row r="1032" spans="1:12" ht="15" customHeight="1">
      <c r="A1032" s="112">
        <v>11904466</v>
      </c>
      <c r="B1032" s="112" t="s">
        <v>2177</v>
      </c>
      <c r="C1032" s="81" t="s">
        <v>665</v>
      </c>
      <c r="D1032" s="81">
        <v>1200</v>
      </c>
      <c r="E1032" s="81" t="s">
        <v>596</v>
      </c>
      <c r="F1032" s="81">
        <v>4466</v>
      </c>
      <c r="G1032" s="81" t="s">
        <v>282</v>
      </c>
      <c r="H1032" s="81">
        <v>4565</v>
      </c>
      <c r="I1032" s="81" t="s">
        <v>619</v>
      </c>
      <c r="J1032" s="81">
        <v>2</v>
      </c>
      <c r="K1032" s="81">
        <v>119</v>
      </c>
      <c r="L1032" s="81" t="s">
        <v>663</v>
      </c>
    </row>
    <row r="1033" spans="1:12" ht="15" customHeight="1">
      <c r="A1033" s="112">
        <v>11904566</v>
      </c>
      <c r="B1033" s="112" t="s">
        <v>2178</v>
      </c>
      <c r="C1033" s="81" t="s">
        <v>665</v>
      </c>
      <c r="D1033" s="81">
        <v>1200</v>
      </c>
      <c r="E1033" s="81" t="s">
        <v>596</v>
      </c>
      <c r="F1033" s="81">
        <v>4566</v>
      </c>
      <c r="G1033" s="81" t="s">
        <v>282</v>
      </c>
      <c r="H1033" s="81">
        <v>4665</v>
      </c>
      <c r="I1033" s="81" t="s">
        <v>620</v>
      </c>
      <c r="J1033" s="81">
        <v>2</v>
      </c>
      <c r="K1033" s="81">
        <v>119</v>
      </c>
      <c r="L1033" s="81" t="s">
        <v>663</v>
      </c>
    </row>
    <row r="1034" spans="1:12" ht="15" customHeight="1">
      <c r="A1034" s="112">
        <v>11904666</v>
      </c>
      <c r="B1034" s="112" t="s">
        <v>2179</v>
      </c>
      <c r="C1034" s="81" t="s">
        <v>665</v>
      </c>
      <c r="D1034" s="81">
        <v>1200</v>
      </c>
      <c r="E1034" s="81" t="s">
        <v>596</v>
      </c>
      <c r="F1034" s="81">
        <v>4666</v>
      </c>
      <c r="G1034" s="81" t="s">
        <v>282</v>
      </c>
      <c r="H1034" s="81">
        <v>4765</v>
      </c>
      <c r="I1034" s="81" t="s">
        <v>621</v>
      </c>
      <c r="J1034" s="81">
        <v>2</v>
      </c>
      <c r="K1034" s="81">
        <v>119</v>
      </c>
      <c r="L1034" s="81" t="s">
        <v>663</v>
      </c>
    </row>
    <row r="1035" spans="1:12" ht="15" customHeight="1">
      <c r="A1035" s="112">
        <v>11904766</v>
      </c>
      <c r="B1035" s="112" t="s">
        <v>2180</v>
      </c>
      <c r="C1035" s="81" t="s">
        <v>665</v>
      </c>
      <c r="D1035" s="81">
        <v>1200</v>
      </c>
      <c r="E1035" s="81" t="s">
        <v>596</v>
      </c>
      <c r="F1035" s="81">
        <v>4766</v>
      </c>
      <c r="G1035" s="81" t="s">
        <v>282</v>
      </c>
      <c r="H1035" s="81">
        <v>4865</v>
      </c>
      <c r="I1035" s="81" t="s">
        <v>622</v>
      </c>
      <c r="J1035" s="81">
        <v>2</v>
      </c>
      <c r="K1035" s="81">
        <v>119</v>
      </c>
      <c r="L1035" s="81" t="s">
        <v>663</v>
      </c>
    </row>
    <row r="1036" spans="1:12" ht="15" customHeight="1">
      <c r="A1036" s="112">
        <v>11904866</v>
      </c>
      <c r="B1036" s="112" t="s">
        <v>2181</v>
      </c>
      <c r="C1036" s="81" t="s">
        <v>665</v>
      </c>
      <c r="D1036" s="81">
        <v>1200</v>
      </c>
      <c r="E1036" s="81" t="s">
        <v>596</v>
      </c>
      <c r="F1036" s="81">
        <v>4866</v>
      </c>
      <c r="G1036" s="81" t="s">
        <v>282</v>
      </c>
      <c r="H1036" s="81">
        <v>4965</v>
      </c>
      <c r="I1036" s="81" t="s">
        <v>623</v>
      </c>
      <c r="J1036" s="81">
        <v>2</v>
      </c>
      <c r="K1036" s="81">
        <v>119</v>
      </c>
      <c r="L1036" s="81" t="s">
        <v>663</v>
      </c>
    </row>
    <row r="1037" spans="1:12" ht="15" customHeight="1">
      <c r="A1037" s="112">
        <v>11904966</v>
      </c>
      <c r="B1037" s="112" t="s">
        <v>2182</v>
      </c>
      <c r="C1037" s="81" t="s">
        <v>665</v>
      </c>
      <c r="D1037" s="81">
        <v>1200</v>
      </c>
      <c r="E1037" s="81" t="s">
        <v>596</v>
      </c>
      <c r="F1037" s="81">
        <v>4966</v>
      </c>
      <c r="G1037" s="81" t="s">
        <v>282</v>
      </c>
      <c r="H1037" s="81">
        <v>5065</v>
      </c>
      <c r="I1037" s="81" t="s">
        <v>624</v>
      </c>
      <c r="J1037" s="81">
        <v>2</v>
      </c>
      <c r="K1037" s="81">
        <v>119</v>
      </c>
      <c r="L1037" s="81" t="s">
        <v>663</v>
      </c>
    </row>
    <row r="1038" spans="1:12" ht="15" customHeight="1">
      <c r="A1038" s="112">
        <v>11905066</v>
      </c>
      <c r="B1038" s="112" t="s">
        <v>2183</v>
      </c>
      <c r="C1038" s="81" t="s">
        <v>665</v>
      </c>
      <c r="D1038" s="81">
        <v>1200</v>
      </c>
      <c r="E1038" s="81" t="s">
        <v>596</v>
      </c>
      <c r="F1038" s="81">
        <v>5066</v>
      </c>
      <c r="G1038" s="81" t="s">
        <v>282</v>
      </c>
      <c r="H1038" s="81">
        <v>5165</v>
      </c>
      <c r="I1038" s="81" t="s">
        <v>625</v>
      </c>
      <c r="J1038" s="81">
        <v>2</v>
      </c>
      <c r="K1038" s="81">
        <v>119</v>
      </c>
      <c r="L1038" s="81" t="s">
        <v>663</v>
      </c>
    </row>
    <row r="1039" spans="1:12" ht="15" customHeight="1">
      <c r="A1039" s="112">
        <v>11905166</v>
      </c>
      <c r="B1039" s="112" t="s">
        <v>2184</v>
      </c>
      <c r="C1039" s="81" t="s">
        <v>665</v>
      </c>
      <c r="D1039" s="81">
        <v>1200</v>
      </c>
      <c r="E1039" s="81" t="s">
        <v>596</v>
      </c>
      <c r="F1039" s="81">
        <v>5166</v>
      </c>
      <c r="G1039" s="81" t="s">
        <v>282</v>
      </c>
      <c r="H1039" s="81">
        <v>5265</v>
      </c>
      <c r="I1039" s="81" t="s">
        <v>626</v>
      </c>
      <c r="J1039" s="81">
        <v>2</v>
      </c>
      <c r="K1039" s="81">
        <v>119</v>
      </c>
      <c r="L1039" s="81" t="s">
        <v>663</v>
      </c>
    </row>
    <row r="1040" spans="1:12" ht="15" customHeight="1">
      <c r="A1040" s="112">
        <v>11905266</v>
      </c>
      <c r="B1040" s="112" t="s">
        <v>2185</v>
      </c>
      <c r="C1040" s="81" t="s">
        <v>665</v>
      </c>
      <c r="D1040" s="81">
        <v>1200</v>
      </c>
      <c r="E1040" s="81" t="s">
        <v>596</v>
      </c>
      <c r="F1040" s="81">
        <v>5266</v>
      </c>
      <c r="G1040" s="81" t="s">
        <v>282</v>
      </c>
      <c r="H1040" s="81">
        <v>5365</v>
      </c>
      <c r="I1040" s="81" t="s">
        <v>627</v>
      </c>
      <c r="J1040" s="81">
        <v>3</v>
      </c>
      <c r="K1040" s="81">
        <v>119</v>
      </c>
      <c r="L1040" s="81" t="s">
        <v>663</v>
      </c>
    </row>
    <row r="1041" spans="1:12" ht="15" customHeight="1">
      <c r="A1041" s="112">
        <v>11905366</v>
      </c>
      <c r="B1041" s="112" t="s">
        <v>2186</v>
      </c>
      <c r="C1041" s="81" t="s">
        <v>665</v>
      </c>
      <c r="D1041" s="81">
        <v>1200</v>
      </c>
      <c r="E1041" s="81" t="s">
        <v>596</v>
      </c>
      <c r="F1041" s="81">
        <v>5366</v>
      </c>
      <c r="G1041" s="81" t="s">
        <v>282</v>
      </c>
      <c r="H1041" s="81">
        <v>5465</v>
      </c>
      <c r="I1041" s="81" t="s">
        <v>628</v>
      </c>
      <c r="J1041" s="81">
        <v>3</v>
      </c>
      <c r="K1041" s="81">
        <v>119</v>
      </c>
      <c r="L1041" s="81" t="s">
        <v>663</v>
      </c>
    </row>
    <row r="1042" spans="1:12" ht="15" customHeight="1">
      <c r="A1042" s="112">
        <v>11905466</v>
      </c>
      <c r="B1042" s="112" t="s">
        <v>2187</v>
      </c>
      <c r="C1042" s="81" t="s">
        <v>665</v>
      </c>
      <c r="D1042" s="81">
        <v>1200</v>
      </c>
      <c r="E1042" s="81" t="s">
        <v>596</v>
      </c>
      <c r="F1042" s="81">
        <v>5466</v>
      </c>
      <c r="G1042" s="81" t="s">
        <v>282</v>
      </c>
      <c r="H1042" s="81">
        <v>5565</v>
      </c>
      <c r="I1042" s="81" t="s">
        <v>629</v>
      </c>
      <c r="J1042" s="81">
        <v>3</v>
      </c>
      <c r="K1042" s="81">
        <v>119</v>
      </c>
      <c r="L1042" s="81" t="s">
        <v>663</v>
      </c>
    </row>
    <row r="1043" spans="1:12" ht="15" customHeight="1">
      <c r="A1043" s="112">
        <v>11905566</v>
      </c>
      <c r="B1043" s="112" t="s">
        <v>2188</v>
      </c>
      <c r="C1043" s="81" t="s">
        <v>665</v>
      </c>
      <c r="D1043" s="81">
        <v>1200</v>
      </c>
      <c r="E1043" s="81" t="s">
        <v>596</v>
      </c>
      <c r="F1043" s="81">
        <v>5566</v>
      </c>
      <c r="G1043" s="81" t="s">
        <v>282</v>
      </c>
      <c r="H1043" s="81">
        <v>5665</v>
      </c>
      <c r="I1043" s="81" t="s">
        <v>630</v>
      </c>
      <c r="J1043" s="81">
        <v>3</v>
      </c>
      <c r="K1043" s="81">
        <v>119</v>
      </c>
      <c r="L1043" s="81" t="s">
        <v>663</v>
      </c>
    </row>
    <row r="1044" spans="1:12" ht="15" customHeight="1">
      <c r="A1044" s="112">
        <v>11905666</v>
      </c>
      <c r="B1044" s="112" t="s">
        <v>2189</v>
      </c>
      <c r="C1044" s="81" t="s">
        <v>665</v>
      </c>
      <c r="D1044" s="81">
        <v>1200</v>
      </c>
      <c r="E1044" s="81" t="s">
        <v>596</v>
      </c>
      <c r="F1044" s="81">
        <v>5666</v>
      </c>
      <c r="G1044" s="81" t="s">
        <v>282</v>
      </c>
      <c r="H1044" s="81">
        <v>5765</v>
      </c>
      <c r="I1044" s="81" t="s">
        <v>631</v>
      </c>
      <c r="J1044" s="81">
        <v>3</v>
      </c>
      <c r="K1044" s="81">
        <v>119</v>
      </c>
      <c r="L1044" s="81" t="s">
        <v>663</v>
      </c>
    </row>
    <row r="1045" spans="1:12" ht="15" customHeight="1">
      <c r="A1045" s="112">
        <v>11905766</v>
      </c>
      <c r="B1045" s="112" t="s">
        <v>2190</v>
      </c>
      <c r="C1045" s="81" t="s">
        <v>665</v>
      </c>
      <c r="D1045" s="81">
        <v>1200</v>
      </c>
      <c r="E1045" s="81" t="s">
        <v>596</v>
      </c>
      <c r="F1045" s="81">
        <v>5766</v>
      </c>
      <c r="G1045" s="81" t="s">
        <v>282</v>
      </c>
      <c r="H1045" s="81">
        <v>5865</v>
      </c>
      <c r="I1045" s="81" t="s">
        <v>632</v>
      </c>
      <c r="J1045" s="81">
        <v>3</v>
      </c>
      <c r="K1045" s="81">
        <v>119</v>
      </c>
      <c r="L1045" s="81" t="s">
        <v>663</v>
      </c>
    </row>
    <row r="1046" spans="1:12" ht="15" customHeight="1">
      <c r="A1046" s="112">
        <v>11905866</v>
      </c>
      <c r="B1046" s="112" t="s">
        <v>2191</v>
      </c>
      <c r="C1046" s="81" t="s">
        <v>665</v>
      </c>
      <c r="D1046" s="81">
        <v>1200</v>
      </c>
      <c r="E1046" s="81" t="s">
        <v>596</v>
      </c>
      <c r="F1046" s="81">
        <v>5866</v>
      </c>
      <c r="G1046" s="81" t="s">
        <v>282</v>
      </c>
      <c r="H1046" s="81">
        <v>5965</v>
      </c>
      <c r="I1046" s="81" t="s">
        <v>633</v>
      </c>
      <c r="J1046" s="81">
        <v>3</v>
      </c>
      <c r="K1046" s="81">
        <v>119</v>
      </c>
      <c r="L1046" s="81" t="s">
        <v>663</v>
      </c>
    </row>
    <row r="1047" spans="1:12" ht="15" customHeight="1">
      <c r="A1047" s="112">
        <v>11905966</v>
      </c>
      <c r="B1047" s="112" t="s">
        <v>2192</v>
      </c>
      <c r="C1047" s="81" t="s">
        <v>665</v>
      </c>
      <c r="D1047" s="81">
        <v>1200</v>
      </c>
      <c r="E1047" s="81" t="s">
        <v>596</v>
      </c>
      <c r="F1047" s="81">
        <v>5966</v>
      </c>
      <c r="G1047" s="81" t="s">
        <v>282</v>
      </c>
      <c r="H1047" s="81">
        <v>6065</v>
      </c>
      <c r="I1047" s="81" t="s">
        <v>634</v>
      </c>
      <c r="J1047" s="81">
        <v>3</v>
      </c>
      <c r="K1047" s="81">
        <v>119</v>
      </c>
      <c r="L1047" s="81" t="s">
        <v>663</v>
      </c>
    </row>
    <row r="1048" spans="1:12" ht="15" customHeight="1">
      <c r="A1048" s="112">
        <v>11906066</v>
      </c>
      <c r="B1048" s="112" t="s">
        <v>2193</v>
      </c>
      <c r="C1048" s="81" t="s">
        <v>665</v>
      </c>
      <c r="D1048" s="81">
        <v>1200</v>
      </c>
      <c r="E1048" s="81" t="s">
        <v>596</v>
      </c>
      <c r="F1048" s="81">
        <v>6066</v>
      </c>
      <c r="G1048" s="81" t="s">
        <v>282</v>
      </c>
      <c r="H1048" s="81">
        <v>6165</v>
      </c>
      <c r="I1048" s="81" t="s">
        <v>635</v>
      </c>
      <c r="J1048" s="81">
        <v>4</v>
      </c>
      <c r="K1048" s="81">
        <v>119</v>
      </c>
      <c r="L1048" s="81" t="s">
        <v>663</v>
      </c>
    </row>
    <row r="1049" spans="1:12" ht="15" customHeight="1">
      <c r="A1049" s="112">
        <v>11906166</v>
      </c>
      <c r="B1049" s="112" t="s">
        <v>2194</v>
      </c>
      <c r="C1049" s="81" t="s">
        <v>665</v>
      </c>
      <c r="D1049" s="81">
        <v>1200</v>
      </c>
      <c r="E1049" s="81" t="s">
        <v>596</v>
      </c>
      <c r="F1049" s="81">
        <v>6166</v>
      </c>
      <c r="G1049" s="81" t="s">
        <v>282</v>
      </c>
      <c r="H1049" s="81">
        <v>6265</v>
      </c>
      <c r="I1049" s="81" t="s">
        <v>636</v>
      </c>
      <c r="J1049" s="81">
        <v>4</v>
      </c>
      <c r="K1049" s="81">
        <v>119</v>
      </c>
      <c r="L1049" s="81" t="s">
        <v>663</v>
      </c>
    </row>
    <row r="1050" spans="1:12" ht="15" customHeight="1">
      <c r="A1050" s="112">
        <v>11906266</v>
      </c>
      <c r="B1050" s="112" t="s">
        <v>2195</v>
      </c>
      <c r="C1050" s="81" t="s">
        <v>665</v>
      </c>
      <c r="D1050" s="81">
        <v>1200</v>
      </c>
      <c r="E1050" s="81" t="s">
        <v>596</v>
      </c>
      <c r="F1050" s="81">
        <v>6266</v>
      </c>
      <c r="G1050" s="81" t="s">
        <v>282</v>
      </c>
      <c r="H1050" s="81">
        <v>6365</v>
      </c>
      <c r="I1050" s="81" t="s">
        <v>637</v>
      </c>
      <c r="J1050" s="81">
        <v>4</v>
      </c>
      <c r="K1050" s="81">
        <v>119</v>
      </c>
      <c r="L1050" s="81" t="s">
        <v>663</v>
      </c>
    </row>
    <row r="1051" spans="1:12" ht="15" customHeight="1">
      <c r="A1051" s="112">
        <v>11906366</v>
      </c>
      <c r="B1051" s="112" t="s">
        <v>2196</v>
      </c>
      <c r="C1051" s="81" t="s">
        <v>665</v>
      </c>
      <c r="D1051" s="81">
        <v>1200</v>
      </c>
      <c r="E1051" s="81" t="s">
        <v>596</v>
      </c>
      <c r="F1051" s="81">
        <v>6366</v>
      </c>
      <c r="G1051" s="81" t="s">
        <v>282</v>
      </c>
      <c r="H1051" s="81">
        <v>6465</v>
      </c>
      <c r="I1051" s="81" t="s">
        <v>638</v>
      </c>
      <c r="J1051" s="81">
        <v>4</v>
      </c>
      <c r="K1051" s="81">
        <v>119</v>
      </c>
      <c r="L1051" s="81" t="s">
        <v>663</v>
      </c>
    </row>
    <row r="1052" spans="1:12" ht="15" customHeight="1">
      <c r="A1052" s="112">
        <v>11906466</v>
      </c>
      <c r="B1052" s="112" t="s">
        <v>2197</v>
      </c>
      <c r="C1052" s="81" t="s">
        <v>665</v>
      </c>
      <c r="D1052" s="81">
        <v>1200</v>
      </c>
      <c r="E1052" s="81" t="s">
        <v>596</v>
      </c>
      <c r="F1052" s="81">
        <v>6466</v>
      </c>
      <c r="G1052" s="81" t="s">
        <v>282</v>
      </c>
      <c r="H1052" s="81">
        <v>6565</v>
      </c>
      <c r="I1052" s="81" t="s">
        <v>639</v>
      </c>
      <c r="J1052" s="81">
        <v>4</v>
      </c>
      <c r="K1052" s="81">
        <v>119</v>
      </c>
      <c r="L1052" s="81" t="s">
        <v>663</v>
      </c>
    </row>
    <row r="1053" spans="1:12" ht="15" customHeight="1">
      <c r="A1053" s="112">
        <v>11906566</v>
      </c>
      <c r="B1053" s="112" t="s">
        <v>2198</v>
      </c>
      <c r="C1053" s="81" t="s">
        <v>665</v>
      </c>
      <c r="D1053" s="81">
        <v>1200</v>
      </c>
      <c r="E1053" s="81" t="s">
        <v>596</v>
      </c>
      <c r="F1053" s="81">
        <v>6566</v>
      </c>
      <c r="G1053" s="81" t="s">
        <v>282</v>
      </c>
      <c r="H1053" s="81">
        <v>6665</v>
      </c>
      <c r="I1053" s="81" t="s">
        <v>640</v>
      </c>
      <c r="J1053" s="81">
        <v>4</v>
      </c>
      <c r="K1053" s="81">
        <v>119</v>
      </c>
      <c r="L1053" s="81" t="s">
        <v>663</v>
      </c>
    </row>
    <row r="1054" spans="1:12" ht="15" customHeight="1">
      <c r="A1054" s="112">
        <v>11906666</v>
      </c>
      <c r="B1054" s="112" t="s">
        <v>2199</v>
      </c>
      <c r="C1054" s="81" t="s">
        <v>665</v>
      </c>
      <c r="D1054" s="81">
        <v>1200</v>
      </c>
      <c r="E1054" s="81" t="s">
        <v>596</v>
      </c>
      <c r="F1054" s="81">
        <v>6666</v>
      </c>
      <c r="G1054" s="81" t="s">
        <v>282</v>
      </c>
      <c r="H1054" s="81">
        <v>6765</v>
      </c>
      <c r="I1054" s="81" t="s">
        <v>641</v>
      </c>
      <c r="J1054" s="81">
        <v>4</v>
      </c>
      <c r="K1054" s="81">
        <v>119</v>
      </c>
      <c r="L1054" s="81" t="s">
        <v>663</v>
      </c>
    </row>
    <row r="1055" spans="1:12" ht="15" customHeight="1">
      <c r="A1055" s="112">
        <v>11906766</v>
      </c>
      <c r="B1055" s="112" t="s">
        <v>2200</v>
      </c>
      <c r="C1055" s="81" t="s">
        <v>665</v>
      </c>
      <c r="D1055" s="81">
        <v>1200</v>
      </c>
      <c r="E1055" s="81" t="s">
        <v>596</v>
      </c>
      <c r="F1055" s="81">
        <v>6766</v>
      </c>
      <c r="G1055" s="81" t="s">
        <v>282</v>
      </c>
      <c r="H1055" s="81">
        <v>6865</v>
      </c>
      <c r="I1055" s="81" t="s">
        <v>642</v>
      </c>
      <c r="J1055" s="81">
        <v>4</v>
      </c>
      <c r="K1055" s="81">
        <v>119</v>
      </c>
      <c r="L1055" s="81" t="s">
        <v>663</v>
      </c>
    </row>
    <row r="1056" spans="1:12" ht="15" customHeight="1">
      <c r="A1056" s="112">
        <v>11906866</v>
      </c>
      <c r="B1056" s="112" t="s">
        <v>2201</v>
      </c>
      <c r="C1056" s="81" t="s">
        <v>665</v>
      </c>
      <c r="D1056" s="81">
        <v>1200</v>
      </c>
      <c r="E1056" s="81" t="s">
        <v>596</v>
      </c>
      <c r="F1056" s="81">
        <v>6866</v>
      </c>
      <c r="G1056" s="81" t="s">
        <v>282</v>
      </c>
      <c r="H1056" s="81">
        <v>6965</v>
      </c>
      <c r="I1056" s="81" t="s">
        <v>643</v>
      </c>
      <c r="J1056" s="81">
        <v>5</v>
      </c>
      <c r="K1056" s="81">
        <v>119</v>
      </c>
      <c r="L1056" s="81" t="s">
        <v>663</v>
      </c>
    </row>
    <row r="1057" spans="1:12" ht="15" customHeight="1">
      <c r="A1057" s="112">
        <v>11906966</v>
      </c>
      <c r="B1057" s="112" t="s">
        <v>2202</v>
      </c>
      <c r="C1057" s="81" t="s">
        <v>665</v>
      </c>
      <c r="D1057" s="81">
        <v>1200</v>
      </c>
      <c r="E1057" s="81" t="s">
        <v>596</v>
      </c>
      <c r="F1057" s="81">
        <v>6966</v>
      </c>
      <c r="G1057" s="81" t="s">
        <v>282</v>
      </c>
      <c r="H1057" s="81">
        <v>7065</v>
      </c>
      <c r="I1057" s="81" t="s">
        <v>644</v>
      </c>
      <c r="J1057" s="81">
        <v>5</v>
      </c>
      <c r="K1057" s="81">
        <v>119</v>
      </c>
      <c r="L1057" s="81" t="s">
        <v>663</v>
      </c>
    </row>
    <row r="1058" spans="1:12" ht="15" customHeight="1">
      <c r="A1058" s="112">
        <v>11907066</v>
      </c>
      <c r="B1058" s="112" t="s">
        <v>2203</v>
      </c>
      <c r="C1058" s="81" t="s">
        <v>665</v>
      </c>
      <c r="D1058" s="81">
        <v>1200</v>
      </c>
      <c r="E1058" s="81" t="s">
        <v>596</v>
      </c>
      <c r="F1058" s="81">
        <v>7066</v>
      </c>
      <c r="G1058" s="81" t="s">
        <v>282</v>
      </c>
      <c r="H1058" s="81">
        <v>7165</v>
      </c>
      <c r="I1058" s="81" t="s">
        <v>645</v>
      </c>
      <c r="J1058" s="81">
        <v>5</v>
      </c>
      <c r="K1058" s="81">
        <v>119</v>
      </c>
      <c r="L1058" s="81" t="s">
        <v>663</v>
      </c>
    </row>
    <row r="1059" spans="1:12" ht="15" customHeight="1">
      <c r="A1059" s="112">
        <v>11907166</v>
      </c>
      <c r="B1059" s="112" t="s">
        <v>2204</v>
      </c>
      <c r="C1059" s="81" t="s">
        <v>665</v>
      </c>
      <c r="D1059" s="81">
        <v>1200</v>
      </c>
      <c r="E1059" s="81" t="s">
        <v>596</v>
      </c>
      <c r="F1059" s="81">
        <v>7166</v>
      </c>
      <c r="G1059" s="81" t="s">
        <v>282</v>
      </c>
      <c r="H1059" s="81">
        <v>7265</v>
      </c>
      <c r="I1059" s="81" t="s">
        <v>646</v>
      </c>
      <c r="J1059" s="81">
        <v>5</v>
      </c>
      <c r="K1059" s="81">
        <v>119</v>
      </c>
      <c r="L1059" s="81" t="s">
        <v>663</v>
      </c>
    </row>
    <row r="1060" spans="1:12" ht="15" customHeight="1">
      <c r="A1060" s="112">
        <v>11907266</v>
      </c>
      <c r="B1060" s="112" t="s">
        <v>2205</v>
      </c>
      <c r="C1060" s="81" t="s">
        <v>665</v>
      </c>
      <c r="D1060" s="81">
        <v>1200</v>
      </c>
      <c r="E1060" s="81" t="s">
        <v>596</v>
      </c>
      <c r="F1060" s="81">
        <v>7266</v>
      </c>
      <c r="G1060" s="81" t="s">
        <v>282</v>
      </c>
      <c r="H1060" s="81">
        <v>7365</v>
      </c>
      <c r="I1060" s="81" t="s">
        <v>647</v>
      </c>
      <c r="J1060" s="81">
        <v>5</v>
      </c>
      <c r="K1060" s="81">
        <v>119</v>
      </c>
      <c r="L1060" s="81" t="s">
        <v>663</v>
      </c>
    </row>
    <row r="1061" spans="1:12" ht="15" customHeight="1">
      <c r="A1061" s="112">
        <v>11907366</v>
      </c>
      <c r="B1061" s="112" t="s">
        <v>2206</v>
      </c>
      <c r="C1061" s="81" t="s">
        <v>665</v>
      </c>
      <c r="D1061" s="81">
        <v>1200</v>
      </c>
      <c r="E1061" s="81" t="s">
        <v>596</v>
      </c>
      <c r="F1061" s="81">
        <v>7366</v>
      </c>
      <c r="G1061" s="81" t="s">
        <v>282</v>
      </c>
      <c r="H1061" s="81">
        <v>7465</v>
      </c>
      <c r="I1061" s="81" t="s">
        <v>648</v>
      </c>
      <c r="J1061" s="81">
        <v>5</v>
      </c>
      <c r="K1061" s="81">
        <v>119</v>
      </c>
      <c r="L1061" s="81" t="s">
        <v>663</v>
      </c>
    </row>
    <row r="1062" spans="1:12" ht="15" customHeight="1">
      <c r="A1062" s="112">
        <v>11907466</v>
      </c>
      <c r="B1062" s="112" t="s">
        <v>2207</v>
      </c>
      <c r="C1062" s="81" t="s">
        <v>665</v>
      </c>
      <c r="D1062" s="81">
        <v>1200</v>
      </c>
      <c r="E1062" s="81" t="s">
        <v>596</v>
      </c>
      <c r="F1062" s="81">
        <v>7466</v>
      </c>
      <c r="G1062" s="81" t="s">
        <v>282</v>
      </c>
      <c r="H1062" s="81">
        <v>7565</v>
      </c>
      <c r="I1062" s="81" t="s">
        <v>649</v>
      </c>
      <c r="J1062" s="81">
        <v>5</v>
      </c>
      <c r="K1062" s="81">
        <v>119</v>
      </c>
      <c r="L1062" s="81" t="s">
        <v>663</v>
      </c>
    </row>
    <row r="1063" spans="1:12" ht="15" customHeight="1">
      <c r="A1063" s="112">
        <v>11907566</v>
      </c>
      <c r="B1063" s="112" t="s">
        <v>2208</v>
      </c>
      <c r="C1063" s="81" t="s">
        <v>665</v>
      </c>
      <c r="D1063" s="81">
        <v>1200</v>
      </c>
      <c r="E1063" s="81" t="s">
        <v>596</v>
      </c>
      <c r="F1063" s="81">
        <v>7566</v>
      </c>
      <c r="G1063" s="81" t="s">
        <v>282</v>
      </c>
      <c r="H1063" s="81">
        <v>7665</v>
      </c>
      <c r="I1063" s="81" t="s">
        <v>650</v>
      </c>
      <c r="J1063" s="81">
        <v>5</v>
      </c>
      <c r="K1063" s="81">
        <v>119</v>
      </c>
      <c r="L1063" s="81" t="s">
        <v>663</v>
      </c>
    </row>
    <row r="1064" spans="1:12" ht="15" customHeight="1">
      <c r="A1064" s="112">
        <v>11907666</v>
      </c>
      <c r="B1064" s="112" t="s">
        <v>2209</v>
      </c>
      <c r="C1064" s="81" t="s">
        <v>665</v>
      </c>
      <c r="D1064" s="81">
        <v>1200</v>
      </c>
      <c r="E1064" s="81" t="s">
        <v>596</v>
      </c>
      <c r="F1064" s="81">
        <v>7666</v>
      </c>
      <c r="G1064" s="81" t="s">
        <v>282</v>
      </c>
      <c r="H1064" s="81">
        <v>7765</v>
      </c>
      <c r="I1064" s="81" t="s">
        <v>651</v>
      </c>
      <c r="J1064" s="81">
        <v>6</v>
      </c>
      <c r="K1064" s="81">
        <v>119</v>
      </c>
      <c r="L1064" s="81" t="s">
        <v>663</v>
      </c>
    </row>
    <row r="1065" spans="1:12" ht="15" customHeight="1">
      <c r="A1065" s="112">
        <v>11907766</v>
      </c>
      <c r="B1065" s="112" t="s">
        <v>2210</v>
      </c>
      <c r="C1065" s="81" t="s">
        <v>665</v>
      </c>
      <c r="D1065" s="81">
        <v>1200</v>
      </c>
      <c r="E1065" s="81" t="s">
        <v>596</v>
      </c>
      <c r="F1065" s="81">
        <v>7766</v>
      </c>
      <c r="G1065" s="81" t="s">
        <v>282</v>
      </c>
      <c r="H1065" s="81">
        <v>7865</v>
      </c>
      <c r="I1065" s="81" t="s">
        <v>652</v>
      </c>
      <c r="J1065" s="81">
        <v>6</v>
      </c>
      <c r="K1065" s="81">
        <v>119</v>
      </c>
      <c r="L1065" s="81" t="s">
        <v>663</v>
      </c>
    </row>
    <row r="1066" spans="1:12" ht="15" customHeight="1">
      <c r="A1066" s="112">
        <v>11907866</v>
      </c>
      <c r="B1066" s="112" t="s">
        <v>2211</v>
      </c>
      <c r="C1066" s="81" t="s">
        <v>665</v>
      </c>
      <c r="D1066" s="81">
        <v>1200</v>
      </c>
      <c r="E1066" s="81" t="s">
        <v>596</v>
      </c>
      <c r="F1066" s="81">
        <v>7866</v>
      </c>
      <c r="G1066" s="81" t="s">
        <v>282</v>
      </c>
      <c r="H1066" s="81">
        <v>7965</v>
      </c>
      <c r="I1066" s="81" t="s">
        <v>653</v>
      </c>
      <c r="J1066" s="81">
        <v>6</v>
      </c>
      <c r="K1066" s="81">
        <v>119</v>
      </c>
      <c r="L1066" s="81" t="s">
        <v>663</v>
      </c>
    </row>
    <row r="1067" spans="1:12" ht="15" customHeight="1">
      <c r="A1067" s="112">
        <v>11907966</v>
      </c>
      <c r="B1067" s="112" t="s">
        <v>2212</v>
      </c>
      <c r="C1067" s="81" t="s">
        <v>665</v>
      </c>
      <c r="D1067" s="81">
        <v>1200</v>
      </c>
      <c r="E1067" s="81" t="s">
        <v>596</v>
      </c>
      <c r="F1067" s="81">
        <v>7966</v>
      </c>
      <c r="G1067" s="81" t="s">
        <v>282</v>
      </c>
      <c r="H1067" s="81">
        <v>8065</v>
      </c>
      <c r="I1067" s="81" t="s">
        <v>654</v>
      </c>
      <c r="J1067" s="81">
        <v>6</v>
      </c>
      <c r="K1067" s="81">
        <v>119</v>
      </c>
      <c r="L1067" s="81" t="s">
        <v>663</v>
      </c>
    </row>
    <row r="1068" spans="1:12" ht="15" customHeight="1">
      <c r="A1068" s="112">
        <v>12000000</v>
      </c>
      <c r="B1068" s="112" t="s">
        <v>2213</v>
      </c>
      <c r="C1068" s="81" t="s">
        <v>665</v>
      </c>
      <c r="D1068" s="81">
        <v>1200</v>
      </c>
      <c r="E1068" s="81" t="s">
        <v>264</v>
      </c>
      <c r="F1068" s="81">
        <v>0</v>
      </c>
      <c r="G1068" s="81" t="s">
        <v>282</v>
      </c>
      <c r="H1068" s="81">
        <v>2630</v>
      </c>
      <c r="I1068" s="81" t="s">
        <v>597</v>
      </c>
      <c r="J1068" s="81">
        <v>0</v>
      </c>
      <c r="K1068" s="81">
        <v>120</v>
      </c>
      <c r="L1068" s="81" t="s">
        <v>663</v>
      </c>
    </row>
    <row r="1069" spans="1:12" ht="15" customHeight="1">
      <c r="A1069" s="112">
        <v>12002631</v>
      </c>
      <c r="B1069" s="112" t="s">
        <v>2214</v>
      </c>
      <c r="C1069" s="81" t="s">
        <v>665</v>
      </c>
      <c r="D1069" s="81">
        <v>1200</v>
      </c>
      <c r="E1069" s="81" t="s">
        <v>264</v>
      </c>
      <c r="F1069" s="81">
        <v>2631</v>
      </c>
      <c r="G1069" s="81" t="s">
        <v>282</v>
      </c>
      <c r="H1069" s="81">
        <v>2700</v>
      </c>
      <c r="I1069" s="81" t="s">
        <v>599</v>
      </c>
      <c r="J1069" s="81">
        <v>0</v>
      </c>
      <c r="K1069" s="81">
        <v>120</v>
      </c>
      <c r="L1069" s="81" t="s">
        <v>663</v>
      </c>
    </row>
    <row r="1070" spans="1:12" ht="15" customHeight="1">
      <c r="A1070" s="112">
        <v>12002701</v>
      </c>
      <c r="B1070" s="112" t="s">
        <v>2215</v>
      </c>
      <c r="C1070" s="81" t="s">
        <v>665</v>
      </c>
      <c r="D1070" s="81">
        <v>1200</v>
      </c>
      <c r="E1070" s="81" t="s">
        <v>264</v>
      </c>
      <c r="F1070" s="81">
        <v>2701</v>
      </c>
      <c r="G1070" s="81" t="s">
        <v>282</v>
      </c>
      <c r="H1070" s="81">
        <v>2750</v>
      </c>
      <c r="I1070" s="81" t="s">
        <v>600</v>
      </c>
      <c r="J1070" s="81">
        <v>0</v>
      </c>
      <c r="K1070" s="81">
        <v>120</v>
      </c>
      <c r="L1070" s="81" t="s">
        <v>663</v>
      </c>
    </row>
    <row r="1071" spans="1:12" ht="15" customHeight="1">
      <c r="A1071" s="112">
        <v>12002751</v>
      </c>
      <c r="B1071" s="112" t="s">
        <v>2216</v>
      </c>
      <c r="C1071" s="81" t="s">
        <v>665</v>
      </c>
      <c r="D1071" s="81">
        <v>1200</v>
      </c>
      <c r="E1071" s="81" t="s">
        <v>264</v>
      </c>
      <c r="F1071" s="81">
        <v>2751</v>
      </c>
      <c r="G1071" s="81" t="s">
        <v>282</v>
      </c>
      <c r="H1071" s="81">
        <v>2850</v>
      </c>
      <c r="I1071" s="81" t="s">
        <v>602</v>
      </c>
      <c r="J1071" s="81">
        <v>0</v>
      </c>
      <c r="K1071" s="81">
        <v>120</v>
      </c>
      <c r="L1071" s="81" t="s">
        <v>663</v>
      </c>
    </row>
    <row r="1072" spans="1:12" ht="15" customHeight="1">
      <c r="A1072" s="112">
        <v>12002851</v>
      </c>
      <c r="B1072" s="112" t="s">
        <v>2217</v>
      </c>
      <c r="C1072" s="81" t="s">
        <v>665</v>
      </c>
      <c r="D1072" s="81">
        <v>1200</v>
      </c>
      <c r="E1072" s="81" t="s">
        <v>264</v>
      </c>
      <c r="F1072" s="81">
        <v>2851</v>
      </c>
      <c r="G1072" s="81" t="s">
        <v>282</v>
      </c>
      <c r="H1072" s="81">
        <v>2950</v>
      </c>
      <c r="I1072" s="81" t="s">
        <v>603</v>
      </c>
      <c r="J1072" s="81">
        <v>0</v>
      </c>
      <c r="K1072" s="81">
        <v>120</v>
      </c>
      <c r="L1072" s="81" t="s">
        <v>663</v>
      </c>
    </row>
    <row r="1073" spans="1:12" ht="15" customHeight="1">
      <c r="A1073" s="112">
        <v>12002951</v>
      </c>
      <c r="B1073" s="112" t="s">
        <v>2218</v>
      </c>
      <c r="C1073" s="81" t="s">
        <v>665</v>
      </c>
      <c r="D1073" s="81">
        <v>1200</v>
      </c>
      <c r="E1073" s="81" t="s">
        <v>264</v>
      </c>
      <c r="F1073" s="81">
        <v>2951</v>
      </c>
      <c r="G1073" s="81" t="s">
        <v>282</v>
      </c>
      <c r="H1073" s="81">
        <v>3050</v>
      </c>
      <c r="I1073" s="81" t="s">
        <v>604</v>
      </c>
      <c r="J1073" s="81">
        <v>0</v>
      </c>
      <c r="K1073" s="81">
        <v>120</v>
      </c>
      <c r="L1073" s="81" t="s">
        <v>663</v>
      </c>
    </row>
    <row r="1074" spans="1:12" ht="15" customHeight="1">
      <c r="A1074" s="112">
        <v>12003051</v>
      </c>
      <c r="B1074" s="112" t="s">
        <v>2219</v>
      </c>
      <c r="C1074" s="81" t="s">
        <v>665</v>
      </c>
      <c r="D1074" s="81">
        <v>1200</v>
      </c>
      <c r="E1074" s="81" t="s">
        <v>264</v>
      </c>
      <c r="F1074" s="81">
        <v>3051</v>
      </c>
      <c r="G1074" s="81" t="s">
        <v>282</v>
      </c>
      <c r="H1074" s="81">
        <v>3150</v>
      </c>
      <c r="I1074" s="81" t="s">
        <v>605</v>
      </c>
      <c r="J1074" s="81">
        <v>0</v>
      </c>
      <c r="K1074" s="81">
        <v>120</v>
      </c>
      <c r="L1074" s="81" t="s">
        <v>663</v>
      </c>
    </row>
    <row r="1075" spans="1:12" ht="15" customHeight="1">
      <c r="A1075" s="112">
        <v>12003151</v>
      </c>
      <c r="B1075" s="112" t="s">
        <v>2220</v>
      </c>
      <c r="C1075" s="81" t="s">
        <v>665</v>
      </c>
      <c r="D1075" s="81">
        <v>1200</v>
      </c>
      <c r="E1075" s="81" t="s">
        <v>264</v>
      </c>
      <c r="F1075" s="81">
        <v>3151</v>
      </c>
      <c r="G1075" s="81" t="s">
        <v>282</v>
      </c>
      <c r="H1075" s="81">
        <v>3250</v>
      </c>
      <c r="I1075" s="81" t="s">
        <v>606</v>
      </c>
      <c r="J1075" s="81">
        <v>0</v>
      </c>
      <c r="K1075" s="81">
        <v>120</v>
      </c>
      <c r="L1075" s="81" t="s">
        <v>663</v>
      </c>
    </row>
    <row r="1076" spans="1:12" ht="15" customHeight="1">
      <c r="A1076" s="112">
        <v>12003251</v>
      </c>
      <c r="B1076" s="112" t="s">
        <v>2221</v>
      </c>
      <c r="C1076" s="81" t="s">
        <v>665</v>
      </c>
      <c r="D1076" s="81">
        <v>1200</v>
      </c>
      <c r="E1076" s="81" t="s">
        <v>264</v>
      </c>
      <c r="F1076" s="81">
        <v>3251</v>
      </c>
      <c r="G1076" s="81" t="s">
        <v>282</v>
      </c>
      <c r="H1076" s="81">
        <v>3350</v>
      </c>
      <c r="I1076" s="81" t="s">
        <v>607</v>
      </c>
      <c r="J1076" s="81">
        <v>0</v>
      </c>
      <c r="K1076" s="81">
        <v>120</v>
      </c>
      <c r="L1076" s="81" t="s">
        <v>663</v>
      </c>
    </row>
    <row r="1077" spans="1:12" ht="15" customHeight="1">
      <c r="A1077" s="112">
        <v>12003351</v>
      </c>
      <c r="B1077" s="112" t="s">
        <v>2222</v>
      </c>
      <c r="C1077" s="81" t="s">
        <v>665</v>
      </c>
      <c r="D1077" s="81">
        <v>1200</v>
      </c>
      <c r="E1077" s="81" t="s">
        <v>264</v>
      </c>
      <c r="F1077" s="81">
        <v>3351</v>
      </c>
      <c r="G1077" s="81" t="s">
        <v>282</v>
      </c>
      <c r="H1077" s="81">
        <v>3450</v>
      </c>
      <c r="I1077" s="81" t="s">
        <v>608</v>
      </c>
      <c r="J1077" s="81">
        <v>0</v>
      </c>
      <c r="K1077" s="81">
        <v>120</v>
      </c>
      <c r="L1077" s="81" t="s">
        <v>663</v>
      </c>
    </row>
    <row r="1078" spans="1:12" ht="15" customHeight="1">
      <c r="A1078" s="112">
        <v>12003451</v>
      </c>
      <c r="B1078" s="112" t="s">
        <v>2223</v>
      </c>
      <c r="C1078" s="81" t="s">
        <v>665</v>
      </c>
      <c r="D1078" s="81">
        <v>1200</v>
      </c>
      <c r="E1078" s="81" t="s">
        <v>264</v>
      </c>
      <c r="F1078" s="81">
        <v>3451</v>
      </c>
      <c r="G1078" s="81" t="s">
        <v>282</v>
      </c>
      <c r="H1078" s="81">
        <v>3550</v>
      </c>
      <c r="I1078" s="81" t="s">
        <v>609</v>
      </c>
      <c r="J1078" s="81">
        <v>0</v>
      </c>
      <c r="K1078" s="81">
        <v>120</v>
      </c>
      <c r="L1078" s="81" t="s">
        <v>663</v>
      </c>
    </row>
    <row r="1079" spans="1:12" ht="15" customHeight="1">
      <c r="A1079" s="112">
        <v>12003551</v>
      </c>
      <c r="B1079" s="112" t="s">
        <v>2224</v>
      </c>
      <c r="C1079" s="81" t="s">
        <v>665</v>
      </c>
      <c r="D1079" s="81">
        <v>1200</v>
      </c>
      <c r="E1079" s="81" t="s">
        <v>264</v>
      </c>
      <c r="F1079" s="81">
        <v>3551</v>
      </c>
      <c r="G1079" s="81" t="s">
        <v>282</v>
      </c>
      <c r="H1079" s="81">
        <v>3650</v>
      </c>
      <c r="I1079" s="81" t="s">
        <v>610</v>
      </c>
      <c r="J1079" s="81">
        <v>0</v>
      </c>
      <c r="K1079" s="81">
        <v>120</v>
      </c>
      <c r="L1079" s="81" t="s">
        <v>663</v>
      </c>
    </row>
    <row r="1080" spans="1:12" ht="15" customHeight="1">
      <c r="A1080" s="112">
        <v>12003651</v>
      </c>
      <c r="B1080" s="112" t="s">
        <v>2225</v>
      </c>
      <c r="C1080" s="81" t="s">
        <v>665</v>
      </c>
      <c r="D1080" s="81">
        <v>1200</v>
      </c>
      <c r="E1080" s="81" t="s">
        <v>264</v>
      </c>
      <c r="F1080" s="81">
        <v>3651</v>
      </c>
      <c r="G1080" s="81" t="s">
        <v>282</v>
      </c>
      <c r="H1080" s="81">
        <v>3750</v>
      </c>
      <c r="I1080" s="81" t="s">
        <v>611</v>
      </c>
      <c r="J1080" s="81">
        <v>1</v>
      </c>
      <c r="K1080" s="81">
        <v>120</v>
      </c>
      <c r="L1080" s="81" t="s">
        <v>663</v>
      </c>
    </row>
    <row r="1081" spans="1:12" ht="15" customHeight="1">
      <c r="A1081" s="112">
        <v>12003751</v>
      </c>
      <c r="B1081" s="112" t="s">
        <v>2226</v>
      </c>
      <c r="C1081" s="81" t="s">
        <v>665</v>
      </c>
      <c r="D1081" s="81">
        <v>1200</v>
      </c>
      <c r="E1081" s="81" t="s">
        <v>264</v>
      </c>
      <c r="F1081" s="81">
        <v>3751</v>
      </c>
      <c r="G1081" s="81" t="s">
        <v>282</v>
      </c>
      <c r="H1081" s="81">
        <v>3850</v>
      </c>
      <c r="I1081" s="81" t="s">
        <v>612</v>
      </c>
      <c r="J1081" s="81">
        <v>1</v>
      </c>
      <c r="K1081" s="81">
        <v>120</v>
      </c>
      <c r="L1081" s="81" t="s">
        <v>663</v>
      </c>
    </row>
    <row r="1082" spans="1:12" ht="15" customHeight="1">
      <c r="A1082" s="112">
        <v>12003851</v>
      </c>
      <c r="B1082" s="112" t="s">
        <v>2227</v>
      </c>
      <c r="C1082" s="81" t="s">
        <v>665</v>
      </c>
      <c r="D1082" s="81">
        <v>1200</v>
      </c>
      <c r="E1082" s="81" t="s">
        <v>264</v>
      </c>
      <c r="F1082" s="81">
        <v>3851</v>
      </c>
      <c r="G1082" s="81" t="s">
        <v>282</v>
      </c>
      <c r="H1082" s="81">
        <v>3950</v>
      </c>
      <c r="I1082" s="81" t="s">
        <v>613</v>
      </c>
      <c r="J1082" s="81">
        <v>1</v>
      </c>
      <c r="K1082" s="81">
        <v>120</v>
      </c>
      <c r="L1082" s="81" t="s">
        <v>663</v>
      </c>
    </row>
    <row r="1083" spans="1:12" ht="15" customHeight="1">
      <c r="A1083" s="112">
        <v>12003951</v>
      </c>
      <c r="B1083" s="112" t="s">
        <v>2228</v>
      </c>
      <c r="C1083" s="81" t="s">
        <v>665</v>
      </c>
      <c r="D1083" s="81">
        <v>1200</v>
      </c>
      <c r="E1083" s="81" t="s">
        <v>264</v>
      </c>
      <c r="F1083" s="81">
        <v>3951</v>
      </c>
      <c r="G1083" s="81" t="s">
        <v>282</v>
      </c>
      <c r="H1083" s="81">
        <v>4050</v>
      </c>
      <c r="I1083" s="81" t="s">
        <v>614</v>
      </c>
      <c r="J1083" s="81">
        <v>1</v>
      </c>
      <c r="K1083" s="81">
        <v>120</v>
      </c>
      <c r="L1083" s="81" t="s">
        <v>663</v>
      </c>
    </row>
    <row r="1084" spans="1:12" ht="15" customHeight="1">
      <c r="A1084" s="112">
        <v>12004051</v>
      </c>
      <c r="B1084" s="112" t="s">
        <v>2229</v>
      </c>
      <c r="C1084" s="81" t="s">
        <v>665</v>
      </c>
      <c r="D1084" s="81">
        <v>1200</v>
      </c>
      <c r="E1084" s="81" t="s">
        <v>264</v>
      </c>
      <c r="F1084" s="81">
        <v>4051</v>
      </c>
      <c r="G1084" s="81" t="s">
        <v>282</v>
      </c>
      <c r="H1084" s="81">
        <v>4150</v>
      </c>
      <c r="I1084" s="81" t="s">
        <v>615</v>
      </c>
      <c r="J1084" s="81">
        <v>1</v>
      </c>
      <c r="K1084" s="81">
        <v>120</v>
      </c>
      <c r="L1084" s="81" t="s">
        <v>663</v>
      </c>
    </row>
    <row r="1085" spans="1:12" ht="15" customHeight="1">
      <c r="A1085" s="112">
        <v>12004151</v>
      </c>
      <c r="B1085" s="112" t="s">
        <v>2230</v>
      </c>
      <c r="C1085" s="81" t="s">
        <v>665</v>
      </c>
      <c r="D1085" s="81">
        <v>1200</v>
      </c>
      <c r="E1085" s="81" t="s">
        <v>264</v>
      </c>
      <c r="F1085" s="81">
        <v>4151</v>
      </c>
      <c r="G1085" s="81" t="s">
        <v>282</v>
      </c>
      <c r="H1085" s="81">
        <v>4250</v>
      </c>
      <c r="I1085" s="81" t="s">
        <v>616</v>
      </c>
      <c r="J1085" s="81">
        <v>1</v>
      </c>
      <c r="K1085" s="81">
        <v>120</v>
      </c>
      <c r="L1085" s="81" t="s">
        <v>663</v>
      </c>
    </row>
    <row r="1086" spans="1:12" ht="15" customHeight="1">
      <c r="A1086" s="112">
        <v>12004251</v>
      </c>
      <c r="B1086" s="112" t="s">
        <v>2231</v>
      </c>
      <c r="C1086" s="81" t="s">
        <v>665</v>
      </c>
      <c r="D1086" s="81">
        <v>1200</v>
      </c>
      <c r="E1086" s="81" t="s">
        <v>264</v>
      </c>
      <c r="F1086" s="81">
        <v>4251</v>
      </c>
      <c r="G1086" s="81" t="s">
        <v>282</v>
      </c>
      <c r="H1086" s="81">
        <v>4350</v>
      </c>
      <c r="I1086" s="81" t="s">
        <v>617</v>
      </c>
      <c r="J1086" s="81">
        <v>1</v>
      </c>
      <c r="K1086" s="81">
        <v>120</v>
      </c>
      <c r="L1086" s="81" t="s">
        <v>663</v>
      </c>
    </row>
    <row r="1087" spans="1:12" ht="15" customHeight="1">
      <c r="A1087" s="112">
        <v>12004351</v>
      </c>
      <c r="B1087" s="112" t="s">
        <v>2232</v>
      </c>
      <c r="C1087" s="81" t="s">
        <v>665</v>
      </c>
      <c r="D1087" s="81">
        <v>1200</v>
      </c>
      <c r="E1087" s="81" t="s">
        <v>264</v>
      </c>
      <c r="F1087" s="81">
        <v>4351</v>
      </c>
      <c r="G1087" s="81" t="s">
        <v>282</v>
      </c>
      <c r="H1087" s="81">
        <v>4450</v>
      </c>
      <c r="I1087" s="81" t="s">
        <v>618</v>
      </c>
      <c r="J1087" s="81">
        <v>1</v>
      </c>
      <c r="K1087" s="81">
        <v>120</v>
      </c>
      <c r="L1087" s="81" t="s">
        <v>663</v>
      </c>
    </row>
    <row r="1088" spans="1:12" ht="15" customHeight="1">
      <c r="A1088" s="112">
        <v>12004451</v>
      </c>
      <c r="B1088" s="112" t="s">
        <v>2233</v>
      </c>
      <c r="C1088" s="81" t="s">
        <v>665</v>
      </c>
      <c r="D1088" s="81">
        <v>1200</v>
      </c>
      <c r="E1088" s="81" t="s">
        <v>264</v>
      </c>
      <c r="F1088" s="81">
        <v>4451</v>
      </c>
      <c r="G1088" s="81" t="s">
        <v>282</v>
      </c>
      <c r="H1088" s="81">
        <v>4550</v>
      </c>
      <c r="I1088" s="81" t="s">
        <v>619</v>
      </c>
      <c r="J1088" s="81">
        <v>2</v>
      </c>
      <c r="K1088" s="81">
        <v>120</v>
      </c>
      <c r="L1088" s="81" t="s">
        <v>663</v>
      </c>
    </row>
    <row r="1089" spans="1:12" ht="15" customHeight="1">
      <c r="A1089" s="112">
        <v>12004551</v>
      </c>
      <c r="B1089" s="112" t="s">
        <v>2234</v>
      </c>
      <c r="C1089" s="81" t="s">
        <v>665</v>
      </c>
      <c r="D1089" s="81">
        <v>1200</v>
      </c>
      <c r="E1089" s="81" t="s">
        <v>264</v>
      </c>
      <c r="F1089" s="81">
        <v>4551</v>
      </c>
      <c r="G1089" s="81" t="s">
        <v>282</v>
      </c>
      <c r="H1089" s="81">
        <v>4650</v>
      </c>
      <c r="I1089" s="81" t="s">
        <v>620</v>
      </c>
      <c r="J1089" s="81">
        <v>2</v>
      </c>
      <c r="K1089" s="81">
        <v>120</v>
      </c>
      <c r="L1089" s="81" t="s">
        <v>663</v>
      </c>
    </row>
    <row r="1090" spans="1:12" ht="15" customHeight="1">
      <c r="A1090" s="112">
        <v>12004651</v>
      </c>
      <c r="B1090" s="112" t="s">
        <v>2235</v>
      </c>
      <c r="C1090" s="81" t="s">
        <v>665</v>
      </c>
      <c r="D1090" s="81">
        <v>1200</v>
      </c>
      <c r="E1090" s="81" t="s">
        <v>264</v>
      </c>
      <c r="F1090" s="81">
        <v>4651</v>
      </c>
      <c r="G1090" s="81" t="s">
        <v>282</v>
      </c>
      <c r="H1090" s="81">
        <v>4750</v>
      </c>
      <c r="I1090" s="81" t="s">
        <v>621</v>
      </c>
      <c r="J1090" s="81">
        <v>2</v>
      </c>
      <c r="K1090" s="81">
        <v>120</v>
      </c>
      <c r="L1090" s="81" t="s">
        <v>663</v>
      </c>
    </row>
    <row r="1091" spans="1:12" ht="15" customHeight="1">
      <c r="A1091" s="112">
        <v>12004751</v>
      </c>
      <c r="B1091" s="112" t="s">
        <v>2236</v>
      </c>
      <c r="C1091" s="81" t="s">
        <v>665</v>
      </c>
      <c r="D1091" s="81">
        <v>1200</v>
      </c>
      <c r="E1091" s="81" t="s">
        <v>264</v>
      </c>
      <c r="F1091" s="81">
        <v>4751</v>
      </c>
      <c r="G1091" s="81" t="s">
        <v>282</v>
      </c>
      <c r="H1091" s="81">
        <v>4850</v>
      </c>
      <c r="I1091" s="81" t="s">
        <v>622</v>
      </c>
      <c r="J1091" s="81">
        <v>2</v>
      </c>
      <c r="K1091" s="81">
        <v>120</v>
      </c>
      <c r="L1091" s="81" t="s">
        <v>663</v>
      </c>
    </row>
    <row r="1092" spans="1:12" ht="15" customHeight="1">
      <c r="A1092" s="112">
        <v>12004851</v>
      </c>
      <c r="B1092" s="112" t="s">
        <v>2237</v>
      </c>
      <c r="C1092" s="81" t="s">
        <v>665</v>
      </c>
      <c r="D1092" s="81">
        <v>1200</v>
      </c>
      <c r="E1092" s="81" t="s">
        <v>264</v>
      </c>
      <c r="F1092" s="81">
        <v>4851</v>
      </c>
      <c r="G1092" s="81" t="s">
        <v>282</v>
      </c>
      <c r="H1092" s="81">
        <v>4950</v>
      </c>
      <c r="I1092" s="81" t="s">
        <v>623</v>
      </c>
      <c r="J1092" s="81">
        <v>2</v>
      </c>
      <c r="K1092" s="81">
        <v>120</v>
      </c>
      <c r="L1092" s="81" t="s">
        <v>663</v>
      </c>
    </row>
    <row r="1093" spans="1:12" ht="15" customHeight="1">
      <c r="A1093" s="112">
        <v>12004951</v>
      </c>
      <c r="B1093" s="112" t="s">
        <v>2238</v>
      </c>
      <c r="C1093" s="81" t="s">
        <v>665</v>
      </c>
      <c r="D1093" s="81">
        <v>1200</v>
      </c>
      <c r="E1093" s="81" t="s">
        <v>264</v>
      </c>
      <c r="F1093" s="81">
        <v>4951</v>
      </c>
      <c r="G1093" s="81" t="s">
        <v>282</v>
      </c>
      <c r="H1093" s="81">
        <v>5050</v>
      </c>
      <c r="I1093" s="81" t="s">
        <v>624</v>
      </c>
      <c r="J1093" s="81">
        <v>2</v>
      </c>
      <c r="K1093" s="81">
        <v>120</v>
      </c>
      <c r="L1093" s="81" t="s">
        <v>663</v>
      </c>
    </row>
    <row r="1094" spans="1:12" ht="15" customHeight="1">
      <c r="A1094" s="112">
        <v>12005051</v>
      </c>
      <c r="B1094" s="112" t="s">
        <v>2239</v>
      </c>
      <c r="C1094" s="81" t="s">
        <v>665</v>
      </c>
      <c r="D1094" s="81">
        <v>1200</v>
      </c>
      <c r="E1094" s="81" t="s">
        <v>264</v>
      </c>
      <c r="F1094" s="81">
        <v>5051</v>
      </c>
      <c r="G1094" s="81" t="s">
        <v>282</v>
      </c>
      <c r="H1094" s="81">
        <v>5150</v>
      </c>
      <c r="I1094" s="81" t="s">
        <v>625</v>
      </c>
      <c r="J1094" s="81">
        <v>2</v>
      </c>
      <c r="K1094" s="81">
        <v>120</v>
      </c>
      <c r="L1094" s="81" t="s">
        <v>663</v>
      </c>
    </row>
    <row r="1095" spans="1:12" ht="15" customHeight="1">
      <c r="A1095" s="112">
        <v>12005151</v>
      </c>
      <c r="B1095" s="112" t="s">
        <v>2240</v>
      </c>
      <c r="C1095" s="81" t="s">
        <v>665</v>
      </c>
      <c r="D1095" s="81">
        <v>1200</v>
      </c>
      <c r="E1095" s="81" t="s">
        <v>264</v>
      </c>
      <c r="F1095" s="81">
        <v>5151</v>
      </c>
      <c r="G1095" s="81" t="s">
        <v>282</v>
      </c>
      <c r="H1095" s="81">
        <v>5250</v>
      </c>
      <c r="I1095" s="81" t="s">
        <v>626</v>
      </c>
      <c r="J1095" s="81">
        <v>2</v>
      </c>
      <c r="K1095" s="81">
        <v>120</v>
      </c>
      <c r="L1095" s="81" t="s">
        <v>663</v>
      </c>
    </row>
    <row r="1096" spans="1:12" ht="15" customHeight="1">
      <c r="A1096" s="112">
        <v>12005251</v>
      </c>
      <c r="B1096" s="112" t="s">
        <v>2241</v>
      </c>
      <c r="C1096" s="81" t="s">
        <v>665</v>
      </c>
      <c r="D1096" s="81">
        <v>1200</v>
      </c>
      <c r="E1096" s="81" t="s">
        <v>264</v>
      </c>
      <c r="F1096" s="81">
        <v>5251</v>
      </c>
      <c r="G1096" s="81" t="s">
        <v>282</v>
      </c>
      <c r="H1096" s="81">
        <v>5350</v>
      </c>
      <c r="I1096" s="81" t="s">
        <v>627</v>
      </c>
      <c r="J1096" s="81">
        <v>3</v>
      </c>
      <c r="K1096" s="81">
        <v>120</v>
      </c>
      <c r="L1096" s="81" t="s">
        <v>663</v>
      </c>
    </row>
    <row r="1097" spans="1:12" ht="15" customHeight="1">
      <c r="A1097" s="112">
        <v>12005351</v>
      </c>
      <c r="B1097" s="112" t="s">
        <v>2242</v>
      </c>
      <c r="C1097" s="81" t="s">
        <v>665</v>
      </c>
      <c r="D1097" s="81">
        <v>1200</v>
      </c>
      <c r="E1097" s="81" t="s">
        <v>264</v>
      </c>
      <c r="F1097" s="81">
        <v>5351</v>
      </c>
      <c r="G1097" s="81" t="s">
        <v>282</v>
      </c>
      <c r="H1097" s="81">
        <v>5450</v>
      </c>
      <c r="I1097" s="81" t="s">
        <v>628</v>
      </c>
      <c r="J1097" s="81">
        <v>3</v>
      </c>
      <c r="K1097" s="81">
        <v>120</v>
      </c>
      <c r="L1097" s="81" t="s">
        <v>663</v>
      </c>
    </row>
    <row r="1098" spans="1:12" ht="15" customHeight="1">
      <c r="A1098" s="112">
        <v>12005451</v>
      </c>
      <c r="B1098" s="112" t="s">
        <v>2243</v>
      </c>
      <c r="C1098" s="81" t="s">
        <v>665</v>
      </c>
      <c r="D1098" s="81">
        <v>1200</v>
      </c>
      <c r="E1098" s="81" t="s">
        <v>264</v>
      </c>
      <c r="F1098" s="81">
        <v>5451</v>
      </c>
      <c r="G1098" s="81" t="s">
        <v>282</v>
      </c>
      <c r="H1098" s="81">
        <v>5550</v>
      </c>
      <c r="I1098" s="81" t="s">
        <v>629</v>
      </c>
      <c r="J1098" s="81">
        <v>3</v>
      </c>
      <c r="K1098" s="81">
        <v>120</v>
      </c>
      <c r="L1098" s="81" t="s">
        <v>663</v>
      </c>
    </row>
    <row r="1099" spans="1:12" ht="15" customHeight="1">
      <c r="A1099" s="112">
        <v>12005551</v>
      </c>
      <c r="B1099" s="112" t="s">
        <v>2244</v>
      </c>
      <c r="C1099" s="81" t="s">
        <v>665</v>
      </c>
      <c r="D1099" s="81">
        <v>1200</v>
      </c>
      <c r="E1099" s="81" t="s">
        <v>264</v>
      </c>
      <c r="F1099" s="81">
        <v>5551</v>
      </c>
      <c r="G1099" s="81" t="s">
        <v>282</v>
      </c>
      <c r="H1099" s="81">
        <v>5650</v>
      </c>
      <c r="I1099" s="81" t="s">
        <v>630</v>
      </c>
      <c r="J1099" s="81">
        <v>3</v>
      </c>
      <c r="K1099" s="81">
        <v>120</v>
      </c>
      <c r="L1099" s="81" t="s">
        <v>663</v>
      </c>
    </row>
    <row r="1100" spans="1:12" ht="15" customHeight="1">
      <c r="A1100" s="112">
        <v>12005651</v>
      </c>
      <c r="B1100" s="112" t="s">
        <v>2245</v>
      </c>
      <c r="C1100" s="81" t="s">
        <v>665</v>
      </c>
      <c r="D1100" s="81">
        <v>1200</v>
      </c>
      <c r="E1100" s="81" t="s">
        <v>264</v>
      </c>
      <c r="F1100" s="81">
        <v>5651</v>
      </c>
      <c r="G1100" s="81" t="s">
        <v>282</v>
      </c>
      <c r="H1100" s="81">
        <v>5750</v>
      </c>
      <c r="I1100" s="81" t="s">
        <v>631</v>
      </c>
      <c r="J1100" s="81">
        <v>3</v>
      </c>
      <c r="K1100" s="81">
        <v>120</v>
      </c>
      <c r="L1100" s="81" t="s">
        <v>663</v>
      </c>
    </row>
    <row r="1101" spans="1:12" ht="15" customHeight="1">
      <c r="A1101" s="112">
        <v>12005751</v>
      </c>
      <c r="B1101" s="112" t="s">
        <v>2246</v>
      </c>
      <c r="C1101" s="81" t="s">
        <v>665</v>
      </c>
      <c r="D1101" s="81">
        <v>1200</v>
      </c>
      <c r="E1101" s="81" t="s">
        <v>264</v>
      </c>
      <c r="F1101" s="81">
        <v>5751</v>
      </c>
      <c r="G1101" s="81" t="s">
        <v>282</v>
      </c>
      <c r="H1101" s="81">
        <v>5850</v>
      </c>
      <c r="I1101" s="81" t="s">
        <v>632</v>
      </c>
      <c r="J1101" s="81">
        <v>3</v>
      </c>
      <c r="K1101" s="81">
        <v>120</v>
      </c>
      <c r="L1101" s="81" t="s">
        <v>663</v>
      </c>
    </row>
    <row r="1102" spans="1:12" ht="15" customHeight="1">
      <c r="A1102" s="112">
        <v>12005851</v>
      </c>
      <c r="B1102" s="112" t="s">
        <v>2247</v>
      </c>
      <c r="C1102" s="81" t="s">
        <v>665</v>
      </c>
      <c r="D1102" s="81">
        <v>1200</v>
      </c>
      <c r="E1102" s="81" t="s">
        <v>264</v>
      </c>
      <c r="F1102" s="81">
        <v>5851</v>
      </c>
      <c r="G1102" s="81" t="s">
        <v>282</v>
      </c>
      <c r="H1102" s="81">
        <v>5950</v>
      </c>
      <c r="I1102" s="81" t="s">
        <v>633</v>
      </c>
      <c r="J1102" s="81">
        <v>3</v>
      </c>
      <c r="K1102" s="81">
        <v>120</v>
      </c>
      <c r="L1102" s="81" t="s">
        <v>663</v>
      </c>
    </row>
    <row r="1103" spans="1:12" ht="15" customHeight="1">
      <c r="A1103" s="112">
        <v>12005951</v>
      </c>
      <c r="B1103" s="112" t="s">
        <v>2248</v>
      </c>
      <c r="C1103" s="81" t="s">
        <v>665</v>
      </c>
      <c r="D1103" s="81">
        <v>1200</v>
      </c>
      <c r="E1103" s="81" t="s">
        <v>264</v>
      </c>
      <c r="F1103" s="81">
        <v>5951</v>
      </c>
      <c r="G1103" s="81" t="s">
        <v>282</v>
      </c>
      <c r="H1103" s="81">
        <v>6050</v>
      </c>
      <c r="I1103" s="81" t="s">
        <v>634</v>
      </c>
      <c r="J1103" s="81">
        <v>3</v>
      </c>
      <c r="K1103" s="81">
        <v>120</v>
      </c>
      <c r="L1103" s="81" t="s">
        <v>663</v>
      </c>
    </row>
    <row r="1104" spans="1:12" ht="15" customHeight="1">
      <c r="A1104" s="112">
        <v>12006051</v>
      </c>
      <c r="B1104" s="112" t="s">
        <v>2249</v>
      </c>
      <c r="C1104" s="81" t="s">
        <v>665</v>
      </c>
      <c r="D1104" s="81">
        <v>1200</v>
      </c>
      <c r="E1104" s="81" t="s">
        <v>264</v>
      </c>
      <c r="F1104" s="81">
        <v>6051</v>
      </c>
      <c r="G1104" s="81" t="s">
        <v>282</v>
      </c>
      <c r="H1104" s="81">
        <v>6150</v>
      </c>
      <c r="I1104" s="81" t="s">
        <v>635</v>
      </c>
      <c r="J1104" s="81">
        <v>4</v>
      </c>
      <c r="K1104" s="81">
        <v>120</v>
      </c>
      <c r="L1104" s="81" t="s">
        <v>663</v>
      </c>
    </row>
    <row r="1105" spans="1:12" ht="15" customHeight="1">
      <c r="A1105" s="112">
        <v>12006151</v>
      </c>
      <c r="B1105" s="112" t="s">
        <v>2250</v>
      </c>
      <c r="C1105" s="81" t="s">
        <v>665</v>
      </c>
      <c r="D1105" s="81">
        <v>1200</v>
      </c>
      <c r="E1105" s="81" t="s">
        <v>264</v>
      </c>
      <c r="F1105" s="81">
        <v>6151</v>
      </c>
      <c r="G1105" s="81" t="s">
        <v>282</v>
      </c>
      <c r="H1105" s="81">
        <v>6250</v>
      </c>
      <c r="I1105" s="81" t="s">
        <v>636</v>
      </c>
      <c r="J1105" s="81">
        <v>4</v>
      </c>
      <c r="K1105" s="81">
        <v>120</v>
      </c>
      <c r="L1105" s="81" t="s">
        <v>663</v>
      </c>
    </row>
    <row r="1106" spans="1:12" ht="15" customHeight="1">
      <c r="A1106" s="112">
        <v>12006251</v>
      </c>
      <c r="B1106" s="112" t="s">
        <v>2251</v>
      </c>
      <c r="C1106" s="81" t="s">
        <v>665</v>
      </c>
      <c r="D1106" s="81">
        <v>1200</v>
      </c>
      <c r="E1106" s="81" t="s">
        <v>264</v>
      </c>
      <c r="F1106" s="81">
        <v>6251</v>
      </c>
      <c r="G1106" s="81" t="s">
        <v>282</v>
      </c>
      <c r="H1106" s="81">
        <v>6350</v>
      </c>
      <c r="I1106" s="81" t="s">
        <v>637</v>
      </c>
      <c r="J1106" s="81">
        <v>4</v>
      </c>
      <c r="K1106" s="81">
        <v>120</v>
      </c>
      <c r="L1106" s="81" t="s">
        <v>663</v>
      </c>
    </row>
    <row r="1107" spans="1:12" ht="15" customHeight="1">
      <c r="A1107" s="112">
        <v>12006351</v>
      </c>
      <c r="B1107" s="112" t="s">
        <v>2252</v>
      </c>
      <c r="C1107" s="81" t="s">
        <v>665</v>
      </c>
      <c r="D1107" s="81">
        <v>1200</v>
      </c>
      <c r="E1107" s="81" t="s">
        <v>264</v>
      </c>
      <c r="F1107" s="81">
        <v>6351</v>
      </c>
      <c r="G1107" s="81" t="s">
        <v>282</v>
      </c>
      <c r="H1107" s="81">
        <v>6450</v>
      </c>
      <c r="I1107" s="81" t="s">
        <v>638</v>
      </c>
      <c r="J1107" s="81">
        <v>4</v>
      </c>
      <c r="K1107" s="81">
        <v>120</v>
      </c>
      <c r="L1107" s="81" t="s">
        <v>663</v>
      </c>
    </row>
    <row r="1108" spans="1:12" ht="15" customHeight="1">
      <c r="A1108" s="112">
        <v>12006451</v>
      </c>
      <c r="B1108" s="112" t="s">
        <v>2253</v>
      </c>
      <c r="C1108" s="81" t="s">
        <v>665</v>
      </c>
      <c r="D1108" s="81">
        <v>1200</v>
      </c>
      <c r="E1108" s="81" t="s">
        <v>264</v>
      </c>
      <c r="F1108" s="81">
        <v>6451</v>
      </c>
      <c r="G1108" s="81" t="s">
        <v>282</v>
      </c>
      <c r="H1108" s="81">
        <v>6550</v>
      </c>
      <c r="I1108" s="81" t="s">
        <v>639</v>
      </c>
      <c r="J1108" s="81">
        <v>4</v>
      </c>
      <c r="K1108" s="81">
        <v>120</v>
      </c>
      <c r="L1108" s="81" t="s">
        <v>663</v>
      </c>
    </row>
    <row r="1109" spans="1:12" ht="15" customHeight="1">
      <c r="A1109" s="112">
        <v>12006551</v>
      </c>
      <c r="B1109" s="112" t="s">
        <v>2254</v>
      </c>
      <c r="C1109" s="81" t="s">
        <v>665</v>
      </c>
      <c r="D1109" s="81">
        <v>1200</v>
      </c>
      <c r="E1109" s="81" t="s">
        <v>264</v>
      </c>
      <c r="F1109" s="81">
        <v>6551</v>
      </c>
      <c r="G1109" s="81" t="s">
        <v>282</v>
      </c>
      <c r="H1109" s="81">
        <v>6650</v>
      </c>
      <c r="I1109" s="81" t="s">
        <v>640</v>
      </c>
      <c r="J1109" s="81">
        <v>4</v>
      </c>
      <c r="K1109" s="81">
        <v>120</v>
      </c>
      <c r="L1109" s="81" t="s">
        <v>663</v>
      </c>
    </row>
    <row r="1110" spans="1:12" ht="15" customHeight="1">
      <c r="A1110" s="112">
        <v>12006651</v>
      </c>
      <c r="B1110" s="112" t="s">
        <v>2255</v>
      </c>
      <c r="C1110" s="81" t="s">
        <v>665</v>
      </c>
      <c r="D1110" s="81">
        <v>1200</v>
      </c>
      <c r="E1110" s="81" t="s">
        <v>264</v>
      </c>
      <c r="F1110" s="81">
        <v>6651</v>
      </c>
      <c r="G1110" s="81" t="s">
        <v>282</v>
      </c>
      <c r="H1110" s="81">
        <v>6750</v>
      </c>
      <c r="I1110" s="81" t="s">
        <v>641</v>
      </c>
      <c r="J1110" s="81">
        <v>4</v>
      </c>
      <c r="K1110" s="81">
        <v>120</v>
      </c>
      <c r="L1110" s="81" t="s">
        <v>663</v>
      </c>
    </row>
    <row r="1111" spans="1:12" ht="15" customHeight="1">
      <c r="A1111" s="112">
        <v>12006751</v>
      </c>
      <c r="B1111" s="112" t="s">
        <v>2256</v>
      </c>
      <c r="C1111" s="81" t="s">
        <v>665</v>
      </c>
      <c r="D1111" s="81">
        <v>1200</v>
      </c>
      <c r="E1111" s="81" t="s">
        <v>264</v>
      </c>
      <c r="F1111" s="81">
        <v>6751</v>
      </c>
      <c r="G1111" s="81" t="s">
        <v>282</v>
      </c>
      <c r="H1111" s="81">
        <v>6850</v>
      </c>
      <c r="I1111" s="81" t="s">
        <v>642</v>
      </c>
      <c r="J1111" s="81">
        <v>4</v>
      </c>
      <c r="K1111" s="81">
        <v>120</v>
      </c>
      <c r="L1111" s="81" t="s">
        <v>663</v>
      </c>
    </row>
    <row r="1112" spans="1:12" ht="15" customHeight="1">
      <c r="A1112" s="112">
        <v>12006851</v>
      </c>
      <c r="B1112" s="112" t="s">
        <v>2257</v>
      </c>
      <c r="C1112" s="81" t="s">
        <v>665</v>
      </c>
      <c r="D1112" s="81">
        <v>1200</v>
      </c>
      <c r="E1112" s="81" t="s">
        <v>264</v>
      </c>
      <c r="F1112" s="81">
        <v>6851</v>
      </c>
      <c r="G1112" s="81" t="s">
        <v>282</v>
      </c>
      <c r="H1112" s="81">
        <v>6950</v>
      </c>
      <c r="I1112" s="81" t="s">
        <v>643</v>
      </c>
      <c r="J1112" s="81">
        <v>5</v>
      </c>
      <c r="K1112" s="81">
        <v>120</v>
      </c>
      <c r="L1112" s="81" t="s">
        <v>663</v>
      </c>
    </row>
    <row r="1113" spans="1:12" ht="15" customHeight="1">
      <c r="A1113" s="112">
        <v>12006951</v>
      </c>
      <c r="B1113" s="112" t="s">
        <v>2258</v>
      </c>
      <c r="C1113" s="81" t="s">
        <v>665</v>
      </c>
      <c r="D1113" s="81">
        <v>1200</v>
      </c>
      <c r="E1113" s="81" t="s">
        <v>264</v>
      </c>
      <c r="F1113" s="81">
        <v>6951</v>
      </c>
      <c r="G1113" s="81" t="s">
        <v>282</v>
      </c>
      <c r="H1113" s="81">
        <v>7050</v>
      </c>
      <c r="I1113" s="81" t="s">
        <v>644</v>
      </c>
      <c r="J1113" s="81">
        <v>5</v>
      </c>
      <c r="K1113" s="81">
        <v>120</v>
      </c>
      <c r="L1113" s="81" t="s">
        <v>663</v>
      </c>
    </row>
    <row r="1114" spans="1:12" ht="15" customHeight="1">
      <c r="A1114" s="112">
        <v>12007051</v>
      </c>
      <c r="B1114" s="112" t="s">
        <v>2259</v>
      </c>
      <c r="C1114" s="81" t="s">
        <v>665</v>
      </c>
      <c r="D1114" s="81">
        <v>1200</v>
      </c>
      <c r="E1114" s="81" t="s">
        <v>264</v>
      </c>
      <c r="F1114" s="81">
        <v>7051</v>
      </c>
      <c r="G1114" s="81" t="s">
        <v>282</v>
      </c>
      <c r="H1114" s="81">
        <v>7150</v>
      </c>
      <c r="I1114" s="81" t="s">
        <v>645</v>
      </c>
      <c r="J1114" s="81">
        <v>5</v>
      </c>
      <c r="K1114" s="81">
        <v>120</v>
      </c>
      <c r="L1114" s="81" t="s">
        <v>663</v>
      </c>
    </row>
    <row r="1115" spans="1:12" ht="15" customHeight="1">
      <c r="A1115" s="112">
        <v>12007151</v>
      </c>
      <c r="B1115" s="112" t="s">
        <v>2260</v>
      </c>
      <c r="C1115" s="81" t="s">
        <v>665</v>
      </c>
      <c r="D1115" s="81">
        <v>1200</v>
      </c>
      <c r="E1115" s="81" t="s">
        <v>264</v>
      </c>
      <c r="F1115" s="81">
        <v>7151</v>
      </c>
      <c r="G1115" s="81" t="s">
        <v>282</v>
      </c>
      <c r="H1115" s="81">
        <v>7250</v>
      </c>
      <c r="I1115" s="81" t="s">
        <v>646</v>
      </c>
      <c r="J1115" s="81">
        <v>5</v>
      </c>
      <c r="K1115" s="81">
        <v>120</v>
      </c>
      <c r="L1115" s="81" t="s">
        <v>663</v>
      </c>
    </row>
    <row r="1116" spans="1:12" ht="15" customHeight="1">
      <c r="A1116" s="112">
        <v>12007251</v>
      </c>
      <c r="B1116" s="112" t="s">
        <v>2261</v>
      </c>
      <c r="C1116" s="81" t="s">
        <v>665</v>
      </c>
      <c r="D1116" s="81">
        <v>1200</v>
      </c>
      <c r="E1116" s="81" t="s">
        <v>264</v>
      </c>
      <c r="F1116" s="81">
        <v>7251</v>
      </c>
      <c r="G1116" s="81" t="s">
        <v>282</v>
      </c>
      <c r="H1116" s="81">
        <v>7350</v>
      </c>
      <c r="I1116" s="81" t="s">
        <v>647</v>
      </c>
      <c r="J1116" s="81">
        <v>5</v>
      </c>
      <c r="K1116" s="81">
        <v>120</v>
      </c>
      <c r="L1116" s="81" t="s">
        <v>663</v>
      </c>
    </row>
    <row r="1117" spans="1:12" ht="15" customHeight="1">
      <c r="A1117" s="112">
        <v>12007351</v>
      </c>
      <c r="B1117" s="112" t="s">
        <v>2262</v>
      </c>
      <c r="C1117" s="81" t="s">
        <v>665</v>
      </c>
      <c r="D1117" s="81">
        <v>1200</v>
      </c>
      <c r="E1117" s="81" t="s">
        <v>264</v>
      </c>
      <c r="F1117" s="81">
        <v>7351</v>
      </c>
      <c r="G1117" s="81" t="s">
        <v>282</v>
      </c>
      <c r="H1117" s="81">
        <v>7450</v>
      </c>
      <c r="I1117" s="81" t="s">
        <v>648</v>
      </c>
      <c r="J1117" s="81">
        <v>5</v>
      </c>
      <c r="K1117" s="81">
        <v>120</v>
      </c>
      <c r="L1117" s="81" t="s">
        <v>663</v>
      </c>
    </row>
    <row r="1118" spans="1:12" ht="15" customHeight="1">
      <c r="A1118" s="112">
        <v>12007451</v>
      </c>
      <c r="B1118" s="112" t="s">
        <v>2263</v>
      </c>
      <c r="C1118" s="81" t="s">
        <v>665</v>
      </c>
      <c r="D1118" s="81">
        <v>1200</v>
      </c>
      <c r="E1118" s="81" t="s">
        <v>264</v>
      </c>
      <c r="F1118" s="81">
        <v>7451</v>
      </c>
      <c r="G1118" s="81" t="s">
        <v>282</v>
      </c>
      <c r="H1118" s="81">
        <v>7550</v>
      </c>
      <c r="I1118" s="81" t="s">
        <v>649</v>
      </c>
      <c r="J1118" s="81">
        <v>5</v>
      </c>
      <c r="K1118" s="81">
        <v>120</v>
      </c>
      <c r="L1118" s="81" t="s">
        <v>663</v>
      </c>
    </row>
    <row r="1119" spans="1:12" ht="15" customHeight="1">
      <c r="A1119" s="112">
        <v>12007551</v>
      </c>
      <c r="B1119" s="112" t="s">
        <v>2264</v>
      </c>
      <c r="C1119" s="81" t="s">
        <v>665</v>
      </c>
      <c r="D1119" s="81">
        <v>1200</v>
      </c>
      <c r="E1119" s="81" t="s">
        <v>264</v>
      </c>
      <c r="F1119" s="81">
        <v>7551</v>
      </c>
      <c r="G1119" s="81" t="s">
        <v>282</v>
      </c>
      <c r="H1119" s="81">
        <v>7650</v>
      </c>
      <c r="I1119" s="81" t="s">
        <v>650</v>
      </c>
      <c r="J1119" s="81">
        <v>5</v>
      </c>
      <c r="K1119" s="81">
        <v>120</v>
      </c>
      <c r="L1119" s="81" t="s">
        <v>663</v>
      </c>
    </row>
    <row r="1120" spans="1:12" ht="15" customHeight="1">
      <c r="A1120" s="112">
        <v>12007651</v>
      </c>
      <c r="B1120" s="112" t="s">
        <v>2265</v>
      </c>
      <c r="C1120" s="81" t="s">
        <v>665</v>
      </c>
      <c r="D1120" s="81">
        <v>1200</v>
      </c>
      <c r="E1120" s="81" t="s">
        <v>264</v>
      </c>
      <c r="F1120" s="81">
        <v>7651</v>
      </c>
      <c r="G1120" s="81" t="s">
        <v>282</v>
      </c>
      <c r="H1120" s="81">
        <v>7750</v>
      </c>
      <c r="I1120" s="81" t="s">
        <v>651</v>
      </c>
      <c r="J1120" s="81">
        <v>6</v>
      </c>
      <c r="K1120" s="81">
        <v>120</v>
      </c>
      <c r="L1120" s="81" t="s">
        <v>663</v>
      </c>
    </row>
    <row r="1121" spans="1:12" ht="15" customHeight="1">
      <c r="A1121" s="112">
        <v>12007751</v>
      </c>
      <c r="B1121" s="112" t="s">
        <v>2266</v>
      </c>
      <c r="C1121" s="81" t="s">
        <v>665</v>
      </c>
      <c r="D1121" s="81">
        <v>1200</v>
      </c>
      <c r="E1121" s="81" t="s">
        <v>264</v>
      </c>
      <c r="F1121" s="81">
        <v>7751</v>
      </c>
      <c r="G1121" s="81" t="s">
        <v>282</v>
      </c>
      <c r="H1121" s="81">
        <v>7850</v>
      </c>
      <c r="I1121" s="81" t="s">
        <v>652</v>
      </c>
      <c r="J1121" s="81">
        <v>6</v>
      </c>
      <c r="K1121" s="81">
        <v>120</v>
      </c>
      <c r="L1121" s="81" t="s">
        <v>663</v>
      </c>
    </row>
    <row r="1122" spans="1:12" ht="15" customHeight="1">
      <c r="A1122" s="112">
        <v>12007851</v>
      </c>
      <c r="B1122" s="112" t="s">
        <v>2267</v>
      </c>
      <c r="C1122" s="81" t="s">
        <v>665</v>
      </c>
      <c r="D1122" s="81">
        <v>1200</v>
      </c>
      <c r="E1122" s="81" t="s">
        <v>264</v>
      </c>
      <c r="F1122" s="81">
        <v>7851</v>
      </c>
      <c r="G1122" s="81" t="s">
        <v>282</v>
      </c>
      <c r="H1122" s="81">
        <v>7950</v>
      </c>
      <c r="I1122" s="81" t="s">
        <v>653</v>
      </c>
      <c r="J1122" s="81">
        <v>6</v>
      </c>
      <c r="K1122" s="81">
        <v>120</v>
      </c>
      <c r="L1122" s="81" t="s">
        <v>663</v>
      </c>
    </row>
    <row r="1123" spans="1:12" ht="15" customHeight="1">
      <c r="A1123" s="112">
        <v>12007951</v>
      </c>
      <c r="B1123" s="112" t="s">
        <v>2268</v>
      </c>
      <c r="C1123" s="81" t="s">
        <v>665</v>
      </c>
      <c r="D1123" s="81">
        <v>1200</v>
      </c>
      <c r="E1123" s="81" t="s">
        <v>264</v>
      </c>
      <c r="F1123" s="81">
        <v>7951</v>
      </c>
      <c r="G1123" s="81" t="s">
        <v>282</v>
      </c>
      <c r="H1123" s="81">
        <v>8050</v>
      </c>
      <c r="I1123" s="81" t="s">
        <v>654</v>
      </c>
      <c r="J1123" s="81">
        <v>6</v>
      </c>
      <c r="K1123" s="81">
        <v>120</v>
      </c>
      <c r="L1123" s="81" t="s">
        <v>663</v>
      </c>
    </row>
  </sheetData>
  <sheetProtection sheet="1" objects="1" scenarios="1"/>
  <autoFilter ref="A3:L1123" xr:uid="{00000000-0001-0000-0B00-000000000000}"/>
  <mergeCells count="2">
    <mergeCell ref="B2:H2"/>
    <mergeCell ref="P4:P6"/>
  </mergeCells>
  <phoneticPr fontId="155"/>
  <dataValidations count="2">
    <dataValidation type="date" allowBlank="1" showInputMessage="1" showErrorMessage="1" sqref="Y4:Y23" xr:uid="{32AD25E9-A1E0-4EC4-BCDA-7D9C855B9AA9}">
      <formula1>1</formula1>
      <formula2>2958465</formula2>
    </dataValidation>
    <dataValidation type="list" showInputMessage="1" showErrorMessage="1" errorTitle="入力候補を確認" error="候補から選択してください。" sqref="Z4:Z23" xr:uid="{BE63A57F-FF89-43AC-AF9C-B18EA11D49C3}">
      <formula1>"未確認,確認済,QR収録"</formula1>
    </dataValidation>
  </dataValidations>
  <printOptions horizontalCentered="1"/>
  <pageMargins left="0.27777777777777779" right="0.27777777777777779" top="0.34722222222222221" bottom="0.34722222222222221" header="0.3" footer="0.3"/>
  <pageSetup paperSize="9" scale="34" fitToHeight="0" orientation="landscape" r:id="rId1"/>
  <headerFooter>
    <oddFooter>&amp;C推定補完版 v1 / 推定値は要照合&amp;R&amp;P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8</vt:i4>
      </vt:variant>
    </vt:vector>
  </HeadingPairs>
  <TitlesOfParts>
    <vt:vector size="22" baseType="lpstr">
      <vt:lpstr>補完ガイド</vt:lpstr>
      <vt:lpstr>帳票基本入力</vt:lpstr>
      <vt:lpstr>入力表</vt:lpstr>
      <vt:lpstr>情報更新画面</vt:lpstr>
      <vt:lpstr>目次</vt:lpstr>
      <vt:lpstr>塔内機器_表紙</vt:lpstr>
      <vt:lpstr>塔内機器_入力①</vt:lpstr>
      <vt:lpstr>塔内機器_出力①</vt:lpstr>
      <vt:lpstr>塔内機器_出力②</vt:lpstr>
      <vt:lpstr>塔内機器_出力③</vt:lpstr>
      <vt:lpstr>塔内機器_計算用シート</vt:lpstr>
      <vt:lpstr>塔内機器_入力①_DB</vt:lpstr>
      <vt:lpstr>塔内機器_出力①_DB</vt:lpstr>
      <vt:lpstr>塔内機器_出力②_DB</vt:lpstr>
      <vt:lpstr>帳票基本入力!Print_Area</vt:lpstr>
      <vt:lpstr>塔内機器_計算用シート!Print_Area</vt:lpstr>
      <vt:lpstr>塔内機器_出力①!Print_Area</vt:lpstr>
      <vt:lpstr>塔内機器_出力②!Print_Area</vt:lpstr>
      <vt:lpstr>塔内機器_出力③!Print_Area</vt:lpstr>
      <vt:lpstr>塔内機器_入力①!Print_Area</vt:lpstr>
      <vt:lpstr>塔内機器_表紙!Print_Area</vt:lpstr>
      <vt:lpstr>補完_階床候補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Akihiro Katsuda</cp:lastModifiedBy>
  <dcterms:modified xsi:type="dcterms:W3CDTF">2026-09-23T16:41:33Z</dcterms:modified>
</cp:coreProperties>
</file>